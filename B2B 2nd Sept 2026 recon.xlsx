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olataMuthoni\Downloads\"/>
    </mc:Choice>
  </mc:AlternateContent>
  <xr:revisionPtr revIDLastSave="0" documentId="8_{46ADCA00-D9B6-4AD7-9F0B-9BCA35972502}" xr6:coauthVersionLast="47" xr6:coauthVersionMax="47" xr10:uidLastSave="{00000000-0000-0000-0000-000000000000}"/>
  <bookViews>
    <workbookView xWindow="-110" yWindow="-110" windowWidth="19420" windowHeight="10300" firstSheet="1" activeTab="6" xr2:uid="{0F28DFF7-423B-462A-9D33-841BE2B1C358}"/>
  </bookViews>
  <sheets>
    <sheet name="transaction" sheetId="1" r:id="rId1"/>
    <sheet name="Sasapay stm" sheetId="5" r:id="rId2"/>
    <sheet name="Working" sheetId="2" r:id="rId3"/>
    <sheet name="Funds movement" sheetId="6" r:id="rId4"/>
    <sheet name="Sheet6" sheetId="7" r:id="rId5"/>
    <sheet name="Charges" sheetId="3" r:id="rId6"/>
    <sheet name="reconciliation" sheetId="4" r:id="rId7"/>
  </sheets>
  <definedNames>
    <definedName name="_xlnm._FilterDatabase" localSheetId="1" hidden="1">'Sasapay stm'!$A$1:$AF$329</definedName>
    <definedName name="_xlnm._FilterDatabase" localSheetId="0" hidden="1">transaction!$A$7:$N$621</definedName>
    <definedName name="_xlnm._FilterDatabase" localSheetId="2" hidden="1">Working!$A$1:$M$307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14" i="4"/>
  <c r="B10" i="4"/>
  <c r="B8" i="4"/>
  <c r="B6" i="4"/>
  <c r="B5" i="4"/>
  <c r="B4" i="4"/>
  <c r="B3" i="4"/>
  <c r="H622" i="1"/>
  <c r="G305" i="3"/>
  <c r="G9" i="6"/>
  <c r="F4" i="6"/>
  <c r="U310" i="2"/>
  <c r="G310" i="2"/>
  <c r="H3" i="7" s="1"/>
  <c r="U308" i="2"/>
  <c r="U309" i="2"/>
  <c r="H9" i="7"/>
  <c r="H8" i="7"/>
  <c r="H7" i="7"/>
  <c r="H6" i="7"/>
  <c r="H5" i="7"/>
  <c r="H4" i="7"/>
  <c r="H2" i="7"/>
  <c r="H1" i="7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121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2" i="2"/>
  <c r="B9" i="4" l="1"/>
</calcChain>
</file>

<file path=xl/sharedStrings.xml><?xml version="1.0" encoding="utf-8"?>
<sst xmlns="http://schemas.openxmlformats.org/spreadsheetml/2006/main" count="25496" uniqueCount="2357">
  <si>
    <t>Account Holder:</t>
  </si>
  <si>
    <t>SASA PAY</t>
  </si>
  <si>
    <t>Short Code:</t>
  </si>
  <si>
    <t>756756</t>
  </si>
  <si>
    <t>Account:</t>
  </si>
  <si>
    <t>MMF Account for Organization</t>
  </si>
  <si>
    <t>Time Period:</t>
  </si>
  <si>
    <t>From</t>
  </si>
  <si>
    <t>02-09-2026 00:00:00</t>
  </si>
  <si>
    <t>To</t>
  </si>
  <si>
    <t>02-09-2026 23:59:59</t>
  </si>
  <si>
    <t>Operator:</t>
  </si>
  <si>
    <t>Muthoni</t>
  </si>
  <si>
    <t>Organization:</t>
  </si>
  <si>
    <t>Date of Report:</t>
  </si>
  <si>
    <t>10-09-2026 11:42:06</t>
  </si>
  <si>
    <t>Opening Balance:</t>
  </si>
  <si>
    <t>Closing Balance:</t>
  </si>
  <si>
    <t>Available Balance:</t>
  </si>
  <si>
    <t>Total Paid In:</t>
  </si>
  <si>
    <t>Total Withdrawn:</t>
  </si>
  <si>
    <t>Receipt No.</t>
  </si>
  <si>
    <t>Completion Time</t>
  </si>
  <si>
    <t>Initiation Time</t>
  </si>
  <si>
    <t>Details</t>
  </si>
  <si>
    <t>Transaction Status</t>
  </si>
  <si>
    <t>Paid In</t>
  </si>
  <si>
    <t>Withdrawn</t>
  </si>
  <si>
    <t>Balance</t>
  </si>
  <si>
    <t>Balance Confirmed</t>
  </si>
  <si>
    <t>Reason Type</t>
  </si>
  <si>
    <t>Other Party Info</t>
  </si>
  <si>
    <t>Linked Transaction ID</t>
  </si>
  <si>
    <t>A/C No.</t>
  </si>
  <si>
    <t>Currency</t>
  </si>
  <si>
    <t>UI2SB4Y11C</t>
  </si>
  <si>
    <t>02-09-2026 23:35:58</t>
  </si>
  <si>
    <t>Business Buy Goods Charge</t>
  </si>
  <si>
    <t>Completed</t>
  </si>
  <si>
    <t/>
  </si>
  <si>
    <t>true</t>
  </si>
  <si>
    <t>Business Buy Goods via API</t>
  </si>
  <si>
    <t>SP</t>
  </si>
  <si>
    <t>KES</t>
  </si>
  <si>
    <t>Business Buy Goods at 686775 - NEW TAFRIJA RESTAURANT via API REF Bill Payment 254723836614 to 727654</t>
  </si>
  <si>
    <t>686775 - NEW TAFRIJA RESTAURANT</t>
  </si>
  <si>
    <t>UI2SB4XZP4</t>
  </si>
  <si>
    <t>02-09-2026 22:11:30</t>
  </si>
  <si>
    <t>Business Pay Bill Charge</t>
  </si>
  <si>
    <t>Business Pay Bill via API</t>
  </si>
  <si>
    <t>Business Pay Bill via API to 714888 - LOOP BIZ Acc. 323989</t>
  </si>
  <si>
    <t>714888 - LOOP BIZ</t>
  </si>
  <si>
    <t>323989</t>
  </si>
  <si>
    <t>UI2SB4XY6A</t>
  </si>
  <si>
    <t>02-09-2026 22:11:16</t>
  </si>
  <si>
    <t>Business Buy Goods at 871036 - OILIBYA TOM MBOYA via API REF Bill Payment 15115 to 871046</t>
  </si>
  <si>
    <t>871036 - OILIBYA TOM MBOYA</t>
  </si>
  <si>
    <t>UI2SB4XV62</t>
  </si>
  <si>
    <t>02-09-2026 22:10:16</t>
  </si>
  <si>
    <t>Business Buy Goods at 871036 - OILIBYA TOM MBOYA via API REF Bill Payment 15111 to 871046</t>
  </si>
  <si>
    <t>UI2SB4XR95</t>
  </si>
  <si>
    <t>02-09-2026 22:09:53</t>
  </si>
  <si>
    <t>Business Buy Goods at 5967480 - KENNEDY WAITHAKA MBURU via API REF Bill Payment 1625943 to 3564672</t>
  </si>
  <si>
    <t>5967480 - KENNEDY WAITHAKA MBURU</t>
  </si>
  <si>
    <t>UI2SB4XWNW</t>
  </si>
  <si>
    <t>02-09-2026 22:07:39</t>
  </si>
  <si>
    <t>Business Buy Goods at 871036 - OILIBYA TOM MBOYA via API REF Bill Payment 15112 to 871046</t>
  </si>
  <si>
    <t>UI2SB4XZOC</t>
  </si>
  <si>
    <t>02-09-2026 22:06:32</t>
  </si>
  <si>
    <t>Business Buy Goods at 871036 - OILIBYA TOM MBOYA via API REF Bill Payment 15109 to 871046</t>
  </si>
  <si>
    <t>UI2SB4XWNB</t>
  </si>
  <si>
    <t>02-09-2026 22:05:20</t>
  </si>
  <si>
    <t>Business Buy Goods at 5285574 -   National Oil Githunguri 1             via API REF Bill Payment 17941 to 4906008</t>
  </si>
  <si>
    <t xml:space="preserve">5285574 -   National Oil Githunguri 1            </t>
  </si>
  <si>
    <t>UI2SB4XWKN</t>
  </si>
  <si>
    <t>02-09-2026 21:58:43</t>
  </si>
  <si>
    <t>Business Pay Bill via API to 880100 - NCBA BANK KENYA PLC. Acc. 999810</t>
  </si>
  <si>
    <t>880100 - NCBA BANK KENYA PLC.</t>
  </si>
  <si>
    <t>999810</t>
  </si>
  <si>
    <t>UI2SB4XUYP</t>
  </si>
  <si>
    <t>02-09-2026 21:48:00</t>
  </si>
  <si>
    <t>Business Buy Goods at 7248058 -  RUBIS   KOMAROCK via API REF Bill Payment 77483 to 9246253</t>
  </si>
  <si>
    <t>7248058 -  RUBIS   KOMAROCK</t>
  </si>
  <si>
    <t>UI2SB4XR2E</t>
  </si>
  <si>
    <t>02-09-2026 21:45:41</t>
  </si>
  <si>
    <t>Business Pay Bill via API to 4062755 - VILCOM NETWORKS LTD Acc. 2168789</t>
  </si>
  <si>
    <t>4062755 - VILCOM NETWORKS LTD</t>
  </si>
  <si>
    <t>2168789</t>
  </si>
  <si>
    <t>UI2SB4XR0O</t>
  </si>
  <si>
    <t>02-09-2026 21:40:13</t>
  </si>
  <si>
    <t>Business Buy Goods at 7248058 -  RUBIS   KOMAROCK via API REF Bill Payment 80420 to 9246253</t>
  </si>
  <si>
    <t>UI2SB4XQ20</t>
  </si>
  <si>
    <t>02-09-2026 21:28:00</t>
  </si>
  <si>
    <t>02-09-2026 21:27:59</t>
  </si>
  <si>
    <t>Business Pay Bill via API to 400222 - Co-operative Bank Collection Account Acc. 1118738#</t>
  </si>
  <si>
    <t>400222 - Co-operative Bank Collection Account</t>
  </si>
  <si>
    <t>1118738#</t>
  </si>
  <si>
    <t>UI2SB4XOIF</t>
  </si>
  <si>
    <t>02-09-2026 21:21:15</t>
  </si>
  <si>
    <t>Business Buy Goods at 5504520 - GSE TRADERS LIMITED via API REF Bill Payment 77475 to 4998256</t>
  </si>
  <si>
    <t>5504520 - GSE TRADERS LIMITED</t>
  </si>
  <si>
    <t>UI2SB4XLF1</t>
  </si>
  <si>
    <t>02-09-2026 21:13:48</t>
  </si>
  <si>
    <t>Business Buy Goods at 836548 - Be Energy Kayole Petrol station via API REF Bill Payment 77487 to 821697</t>
  </si>
  <si>
    <t>836548 - Be Energy Kayole Petrol station</t>
  </si>
  <si>
    <t>UI2SB4XS7Z</t>
  </si>
  <si>
    <t>02-09-2026 21:13:37</t>
  </si>
  <si>
    <t>Business Buy Goods at 968511 - Shell Machakos Service Station via API REF Bill Payment 15115 to 968512</t>
  </si>
  <si>
    <t>968511 - Shell Machakos Service Station</t>
  </si>
  <si>
    <t>UI2SB4XOGR</t>
  </si>
  <si>
    <t>02-09-2026 21:12:37</t>
  </si>
  <si>
    <t>Business Buy Goods at 968511 - Shell Machakos Service Station via API REF Bill Payment 15108 to 968512</t>
  </si>
  <si>
    <t>UI2SB4XPX9</t>
  </si>
  <si>
    <t>02-09-2026 21:10:28</t>
  </si>
  <si>
    <t>Business Buy Goods at 6262597 - THE FOREST VIEW RESORT LIMITED via API REF Bill Payment 254725682509 to 8234036</t>
  </si>
  <si>
    <t>6262597 - THE FOREST VIEW RESORT LIMITED</t>
  </si>
  <si>
    <t>UI2SB4XPX7</t>
  </si>
  <si>
    <t>02-09-2026 21:10:26</t>
  </si>
  <si>
    <t>02-09-2026 21:10:25</t>
  </si>
  <si>
    <t>Business Buy Goods at 968511 - Shell Machakos Service Station via API REF Bill Payment 15116 to 968512</t>
  </si>
  <si>
    <t>UI2SB4XTE4</t>
  </si>
  <si>
    <t>02-09-2026 21:09:47</t>
  </si>
  <si>
    <t>02-09-2026 21:09:46</t>
  </si>
  <si>
    <t>Business Buy Goods at 836548 - Be Energy Kayole Petrol station via API REF Bill Payment 77486 to 821697</t>
  </si>
  <si>
    <t>UI2SB4XS6K</t>
  </si>
  <si>
    <t>02-09-2026 21:08:10</t>
  </si>
  <si>
    <t>Business Buy Goods at 7248058 -  RUBIS   KOMAROCK via API REF Bill Payment 80417 to 9246253</t>
  </si>
  <si>
    <t>UI2SB4XTDK</t>
  </si>
  <si>
    <t>02-09-2026 21:07:54</t>
  </si>
  <si>
    <t>Business Buy Goods at 6014631 -          MERCY MUNYIVA KIOKO      via API REF Bill Payment 15111 to 9926197</t>
  </si>
  <si>
    <t xml:space="preserve">6014631 -          MERCY MUNYIVA KIOKO     </t>
  </si>
  <si>
    <t>UI2SB4XQPQ</t>
  </si>
  <si>
    <t>02-09-2026 21:06:19</t>
  </si>
  <si>
    <t>Business Buy Goods at 7248058 -  RUBIS   KOMAROCK via API REF Bill Payment 77477 to 9246253</t>
  </si>
  <si>
    <t>UI2SB4XLCO</t>
  </si>
  <si>
    <t>02-09-2026 21:05:15</t>
  </si>
  <si>
    <t>Business Buy Goods at 7248058 -  RUBIS   KOMAROCK via API REF Bill Payment 77476 to 9246253</t>
  </si>
  <si>
    <t>UI2SB4XLCA</t>
  </si>
  <si>
    <t>02-09-2026 21:04:20</t>
  </si>
  <si>
    <t>Business Buy Goods at 7248058 -  RUBIS   KOMAROCK via API REF Bill Payment 77484 to 9246253</t>
  </si>
  <si>
    <t>UI2SB4XLA0</t>
  </si>
  <si>
    <t>02-09-2026 21:00:07</t>
  </si>
  <si>
    <t>Business Pay Bill via API to 444174 - CHOICE  MICROFINANCE BANK. Acc. 46013001326841</t>
  </si>
  <si>
    <t>444174 - CHOICE  MICROFINANCE BANK.</t>
  </si>
  <si>
    <t>46013001326841</t>
  </si>
  <si>
    <t>UI2SB4XS2G</t>
  </si>
  <si>
    <t>02-09-2026 21:00:06</t>
  </si>
  <si>
    <t>Business Pay Bill via API to 444174 - CHOICE  MICROFINANCE BANK. Acc. 46013001319812</t>
  </si>
  <si>
    <t>46013001319812</t>
  </si>
  <si>
    <t>UI2SB4XQMO</t>
  </si>
  <si>
    <t>02-09-2026 21:00:05</t>
  </si>
  <si>
    <t>Business Pay Bill via API to 444174 - CHOICE  MICROFINANCE BANK. Acc. 46011000008774</t>
  </si>
  <si>
    <t>46011000008774</t>
  </si>
  <si>
    <t>UI2SB4XQMD</t>
  </si>
  <si>
    <t>02-09-2026 20:59:30</t>
  </si>
  <si>
    <t>Funds Transfer from Utility Account to Working Account</t>
  </si>
  <si>
    <t>Business Transfer From Utility Account To MMF Account via API</t>
  </si>
  <si>
    <t>756756 - SASA PAY</t>
  </si>
  <si>
    <t>UI2SB4XL58</t>
  </si>
  <si>
    <t>02-09-2026 20:42:54</t>
  </si>
  <si>
    <t>02-09-2026 20:42:53</t>
  </si>
  <si>
    <t>Business Pay Bill via API to 4298298 - AMICA SACCO LIMITED Acc. 008108000000040</t>
  </si>
  <si>
    <t>4298298 - AMICA SACCO LIMITED</t>
  </si>
  <si>
    <t>008108000000040</t>
  </si>
  <si>
    <t>UI2SB4XPKG</t>
  </si>
  <si>
    <t>02-09-2026 20:37:36</t>
  </si>
  <si>
    <t>Business Buy Goods at 8425475 - DENNIS MWATHE MIRITI via API REF Bill Payment 1667632 to 6096903</t>
  </si>
  <si>
    <t>8425475 - DENNIS MWATHE MIRITI</t>
  </si>
  <si>
    <t>UI2SB4XJN2</t>
  </si>
  <si>
    <t>02-09-2026 20:20:12</t>
  </si>
  <si>
    <t>Business Buy Goods at 836548 - Be Energy Kayole Petrol station via API REF Bill Payment 77480 to 821697</t>
  </si>
  <si>
    <t>UI2SB4XQ87</t>
  </si>
  <si>
    <t>02-09-2026 20:16:48</t>
  </si>
  <si>
    <t>02-09-2026 20:16:47</t>
  </si>
  <si>
    <t>Business Pay Bill via API to 793174 - BRANCH MICROFINANCE BANK LIMITED Acc. 0112549551</t>
  </si>
  <si>
    <t>793174 - BRANCH MICROFINANCE BANK LIMITED</t>
  </si>
  <si>
    <t>0112549551</t>
  </si>
  <si>
    <t>UI2SB4XKVI</t>
  </si>
  <si>
    <t>02-09-2026 20:10:09</t>
  </si>
  <si>
    <t>02-09-2026 20:10:08</t>
  </si>
  <si>
    <t>Business Buy Goods at 6276261 - MINIMALISTIC   ENTERPRISES   LIMITED via API REF Bill Payment 445424 to 8383472</t>
  </si>
  <si>
    <t>6276261 - MINIMALISTIC   ENTERPRISES   LIMITED</t>
  </si>
  <si>
    <t>UI2SB4XNVI</t>
  </si>
  <si>
    <t>02-09-2026 20:07:31</t>
  </si>
  <si>
    <t>Business Buy Goods at 7193269 - ANNE MBULWA KIARIE via API REF Bill Payment 254711665578 to 5185173</t>
  </si>
  <si>
    <t>7193269 - ANNE MBULWA KIARIE</t>
  </si>
  <si>
    <t>UI2SB4XKUS</t>
  </si>
  <si>
    <t>02-09-2026 20:06:19</t>
  </si>
  <si>
    <t>Business Pay Bill via API to 985050 - Gulf African Bank-Paybill Acc. 0900282601</t>
  </si>
  <si>
    <t>985050 - Gulf African Bank-Paybill</t>
  </si>
  <si>
    <t>0900282601</t>
  </si>
  <si>
    <t>UI2SB4XPAH</t>
  </si>
  <si>
    <t>02-09-2026 20:04:37</t>
  </si>
  <si>
    <t>02-09-2026 20:04:35</t>
  </si>
  <si>
    <t>Business Pay Bill via API to 982100 - IMARISHA SACCO Acc. 5046291201</t>
  </si>
  <si>
    <t>982100 - IMARISHA SACCO</t>
  </si>
  <si>
    <t>5046291201</t>
  </si>
  <si>
    <t>UI2SB4XP9B</t>
  </si>
  <si>
    <t>02-09-2026 20:01:38</t>
  </si>
  <si>
    <t>Business Buy Goods at 9138752 - Samuel Mungai Muriithi via API REF Bill Payment 164621 to 4885582</t>
  </si>
  <si>
    <t>9138752 - Samuel Mungai Muriithi</t>
  </si>
  <si>
    <t>UI2SB4XKL3</t>
  </si>
  <si>
    <t>02-09-2026 19:40:10</t>
  </si>
  <si>
    <t>02-09-2026 19:40:09</t>
  </si>
  <si>
    <t>UI2SB4XKKC</t>
  </si>
  <si>
    <t>02-09-2026 19:38:14</t>
  </si>
  <si>
    <t>02-09-2026 19:38:13</t>
  </si>
  <si>
    <t>UI2SB4XJ44</t>
  </si>
  <si>
    <t>02-09-2026 19:24:24</t>
  </si>
  <si>
    <t>Business Buy Goods at 8561779 - FELIX ONYANGO ODUOR via API REF Bill Payment 254797413147 to 6721699</t>
  </si>
  <si>
    <t>8561779 - FELIX ONYANGO ODUOR</t>
  </si>
  <si>
    <t>UI2SB4XHU2</t>
  </si>
  <si>
    <t>02-09-2026 19:19:31</t>
  </si>
  <si>
    <t>UI2SB4XFA2</t>
  </si>
  <si>
    <t>02-09-2026 18:51:10</t>
  </si>
  <si>
    <t>02-09-2026 18:51:09</t>
  </si>
  <si>
    <t>UI2SB4XN4M</t>
  </si>
  <si>
    <t>02-09-2026 18:50:46</t>
  </si>
  <si>
    <t>02-09-2026 18:50:45</t>
  </si>
  <si>
    <t>Business Pay Bill via API to 247247 - Equity Paybill Account Acc. 0890195415435</t>
  </si>
  <si>
    <t>247247 - Equity Paybill Account</t>
  </si>
  <si>
    <t>0890195415435</t>
  </si>
  <si>
    <t>UI2SB4XLK0</t>
  </si>
  <si>
    <t>02-09-2026 18:47:56</t>
  </si>
  <si>
    <t>02-09-2026 18:47:55</t>
  </si>
  <si>
    <t>UI2SB4XHJ8</t>
  </si>
  <si>
    <t>02-09-2026 18:45:11</t>
  </si>
  <si>
    <t>Business Pay Bill via API to 542542 - IM BANK C2B Acc. 940721</t>
  </si>
  <si>
    <t>542542 - IM BANK C2B</t>
  </si>
  <si>
    <t>940721</t>
  </si>
  <si>
    <t>UI2SB4XHJ7</t>
  </si>
  <si>
    <t>02-09-2026 18:45:08</t>
  </si>
  <si>
    <t>UI2SB4XC86</t>
  </si>
  <si>
    <t>02-09-2026 18:41:33</t>
  </si>
  <si>
    <t>Business Buy Goods at 7526456 - Quick Mart Thome via API REF Bill Payment 254708582465 to 9481423</t>
  </si>
  <si>
    <t>7526456 - Quick Mart Thome</t>
  </si>
  <si>
    <t>UI2SB4XABB</t>
  </si>
  <si>
    <t>02-09-2026 17:51:37</t>
  </si>
  <si>
    <t>Business Buy Goods at 6818183 - Galana Energies Station - Runda Mall via API REF Bill Payment 469005 to 4293700</t>
  </si>
  <si>
    <t>6818183 - Galana Energies Station - Runda Mall</t>
  </si>
  <si>
    <t>UI2SB4XBPP</t>
  </si>
  <si>
    <t>02-09-2026 17:46:17</t>
  </si>
  <si>
    <t>Business Pay Bill via API to 4113485 - Liquid Telecommunications (K) LTD 2 Acc. LHK-19700-0001</t>
  </si>
  <si>
    <t>4113485 - Liquid Telecommunications (K) LTD 2</t>
  </si>
  <si>
    <t>LHK-19700-0001</t>
  </si>
  <si>
    <t>UI2SB4XGZG</t>
  </si>
  <si>
    <t>02-09-2026 17:44:19</t>
  </si>
  <si>
    <t>UI2SB4XFKF</t>
  </si>
  <si>
    <t>02-09-2026 17:44:17</t>
  </si>
  <si>
    <t>UI2SB4X8W8</t>
  </si>
  <si>
    <t>02-09-2026 17:39:58</t>
  </si>
  <si>
    <t>Business Buy Goods at 7212915 - GOODLIFE PHARMACY LIMITED - NAIROBI MEGA via API REF Bill Payment 784176 to 5198107</t>
  </si>
  <si>
    <t>7212915 - GOODLIFE PHARMACY LIMITED - NAIROBI MEGA</t>
  </si>
  <si>
    <t>UI2SB4XBLV</t>
  </si>
  <si>
    <t>02-09-2026 17:34:13</t>
  </si>
  <si>
    <t>02-09-2026 17:34:12</t>
  </si>
  <si>
    <t>Business Buy Goods at 7160253 - LC WAIKIKI KE07 MEGA 4 via API REF Bill Payment 784176 to 5210479</t>
  </si>
  <si>
    <t>7160253 - LC WAIKIKI KE07 MEGA 4</t>
  </si>
  <si>
    <t>UI2SB4XEKS</t>
  </si>
  <si>
    <t>02-09-2026 17:31:03</t>
  </si>
  <si>
    <t>Business Pay Bill via API to 600100 - Stanbic Bank Acc. 0100013896849</t>
  </si>
  <si>
    <t>600100 - Stanbic Bank</t>
  </si>
  <si>
    <t>0100013896849</t>
  </si>
  <si>
    <t>UI2SB4X8QY</t>
  </si>
  <si>
    <t>02-09-2026 17:25:46</t>
  </si>
  <si>
    <t>Business Buy Goods at 5681688 - ROPEM - TUMAINI HOUSE  via API REF Bill Payment 254721638898 to 5681718</t>
  </si>
  <si>
    <t xml:space="preserve">5681688 - ROPEM - TUMAINI HOUSE </t>
  </si>
  <si>
    <t>UI2SB4X7J6</t>
  </si>
  <si>
    <t>02-09-2026 17:24:22</t>
  </si>
  <si>
    <t>Business Buy Goods at 314125 - JAVA OUTSIDE CATERING SERVICES via API REF Bill Payment 60850 to 707673</t>
  </si>
  <si>
    <t>314125 - JAVA OUTSIDE CATERING SERVICES</t>
  </si>
  <si>
    <t>UI2SB4X8NO</t>
  </si>
  <si>
    <t>02-09-2026 17:12:30</t>
  </si>
  <si>
    <t>Business Buy Goods at 753345 - JULIKA AUTOMOBILES            via API REF Bill Payment 520420 to 756333</t>
  </si>
  <si>
    <t xml:space="preserve">753345 - JULIKA AUTOMOBILES           </t>
  </si>
  <si>
    <t>UI2SB4XEEW</t>
  </si>
  <si>
    <t>02-09-2026 17:11:25</t>
  </si>
  <si>
    <t>02-09-2026 17:11:21</t>
  </si>
  <si>
    <t>Business Pay Bill via API to 852648 - FORTUNE SACCO C2B Acc. 2900128</t>
  </si>
  <si>
    <t>852648 - FORTUNE SACCO C2B</t>
  </si>
  <si>
    <t>2900128</t>
  </si>
  <si>
    <t>UI2SB4XEEV</t>
  </si>
  <si>
    <t>Business Pay Bill via API to 765244 - Bingwa Sacco Society Ltd C2B Acc. 14502204</t>
  </si>
  <si>
    <t>765244 - Bingwa Sacco Society Ltd C2B</t>
  </si>
  <si>
    <t>14502204</t>
  </si>
  <si>
    <t>UI2SB4X60S</t>
  </si>
  <si>
    <t>02-09-2026 17:11:14</t>
  </si>
  <si>
    <t>02-09-2026 17:11:13</t>
  </si>
  <si>
    <t>Business Pay Bill via API to 350050 - SPOTCASH Acc. 33155573</t>
  </si>
  <si>
    <t>350050 - SPOTCASH</t>
  </si>
  <si>
    <t>33155573</t>
  </si>
  <si>
    <t>UI2SB4X9YP</t>
  </si>
  <si>
    <t>Business Pay Bill via API to 765244 - Bingwa Sacco Society Ltd C2B Acc. 13471714</t>
  </si>
  <si>
    <t>13471714</t>
  </si>
  <si>
    <t>UI2SB4XCXT</t>
  </si>
  <si>
    <t>Business Pay Bill via API to 765244 - Bingwa Sacco Society Ltd C2B Acc. 22552736</t>
  </si>
  <si>
    <t>22552736</t>
  </si>
  <si>
    <t>UI2SB4XEET</t>
  </si>
  <si>
    <t>02-09-2026 17:11:12</t>
  </si>
  <si>
    <t>Business Pay Bill via API to 765244 - Bingwa Sacco Society Ltd C2B Acc. 1212901</t>
  </si>
  <si>
    <t>1212901</t>
  </si>
  <si>
    <t>UI2SB4XCXS</t>
  </si>
  <si>
    <t>02-09-2026 17:11:09</t>
  </si>
  <si>
    <t>Business Pay Bill via API to 765244 - Bingwa Sacco Society Ltd C2B Acc. 29886907</t>
  </si>
  <si>
    <t>29886907</t>
  </si>
  <si>
    <t>UI2SB4XCXQ</t>
  </si>
  <si>
    <t>02-09-2026 17:11:06</t>
  </si>
  <si>
    <t>Business Pay Bill via API to 765244 - Bingwa Sacco Society Ltd C2B Acc. 3681818</t>
  </si>
  <si>
    <t>3681818</t>
  </si>
  <si>
    <t>UI2SB4X60O</t>
  </si>
  <si>
    <t>02-09-2026 17:11:04</t>
  </si>
  <si>
    <t>Business Pay Bill via API to 765244 - Bingwa Sacco Society Ltd C2B Acc. 24152995</t>
  </si>
  <si>
    <t>24152995</t>
  </si>
  <si>
    <t>UI2SB4XEER</t>
  </si>
  <si>
    <t>02-09-2026 17:11:02</t>
  </si>
  <si>
    <t>Business Pay Bill via API to 765244 - Bingwa Sacco Society Ltd C2B Acc. 24389720</t>
  </si>
  <si>
    <t>24389720</t>
  </si>
  <si>
    <t>UI2SB4XCXP</t>
  </si>
  <si>
    <t>02-09-2026 17:10:57</t>
  </si>
  <si>
    <t>Business Pay Bill via API to 852648 - FORTUNE SACCO C2B Acc. 25927001</t>
  </si>
  <si>
    <t>25927001</t>
  </si>
  <si>
    <t>UI2SB4X7FM</t>
  </si>
  <si>
    <t>Business Pay Bill via API to 765244 - Bingwa Sacco Society Ltd C2B Acc. 32799071</t>
  </si>
  <si>
    <t>32799071</t>
  </si>
  <si>
    <t>UI2SB4X60M</t>
  </si>
  <si>
    <t>02-09-2026 17:10:58</t>
  </si>
  <si>
    <t>Business Pay Bill via API to 765244 - Bingwa Sacco Society Ltd C2B Acc. 14505211</t>
  </si>
  <si>
    <t>14505211</t>
  </si>
  <si>
    <t>UI2SB4XBF4</t>
  </si>
  <si>
    <t>02-09-2026 17:10:53</t>
  </si>
  <si>
    <t>Business Pay Bill via API to 765244 - Bingwa Sacco Society Ltd C2B Acc. 10496026</t>
  </si>
  <si>
    <t>10496026</t>
  </si>
  <si>
    <t>UI2SB4X8N7</t>
  </si>
  <si>
    <t>02-09-2026 17:10:51</t>
  </si>
  <si>
    <t>02-09-2026 17:10:47</t>
  </si>
  <si>
    <t>Business Pay Bill via API to 852648 - FORTUNE SACCO C2B Acc. 11818374</t>
  </si>
  <si>
    <t>11818374</t>
  </si>
  <si>
    <t>UI2SB4X8N6</t>
  </si>
  <si>
    <t>02-09-2026 17:10:43</t>
  </si>
  <si>
    <t>Business Pay Bill via API to 765244 - Bingwa Sacco Society Ltd C2B Acc. 0166878</t>
  </si>
  <si>
    <t>0166878</t>
  </si>
  <si>
    <t>UI2SB4X7FG</t>
  </si>
  <si>
    <t>02-09-2026 17:10:38</t>
  </si>
  <si>
    <t>Business Pay Bill via API to 852648 - FORTUNE SACCO C2B Acc. 13845850</t>
  </si>
  <si>
    <t>13845850</t>
  </si>
  <si>
    <t>UI2SB4XCXJ</t>
  </si>
  <si>
    <t>02-09-2026 17:10:41</t>
  </si>
  <si>
    <t>Business Pay Bill via API to 765244 - Bingwa Sacco Society Ltd C2B Acc. 37100999</t>
  </si>
  <si>
    <t>37100999</t>
  </si>
  <si>
    <t>UI2SB4X7FH</t>
  </si>
  <si>
    <t>02-09-2026 17:10:40</t>
  </si>
  <si>
    <t>Business Pay Bill via API to 765244 - Bingwa Sacco Society Ltd C2B Acc. 28721332</t>
  </si>
  <si>
    <t>28721332</t>
  </si>
  <si>
    <t>UI2SB4X9YK</t>
  </si>
  <si>
    <t>02-09-2026 17:10:37</t>
  </si>
  <si>
    <t>Business Pay Bill via API to 765244 - Bingwa Sacco Society Ltd C2B Acc. 2922592</t>
  </si>
  <si>
    <t>2922592</t>
  </si>
  <si>
    <t>UI2SB4XEEP</t>
  </si>
  <si>
    <t>02-09-2026 17:10:36</t>
  </si>
  <si>
    <t>Business Pay Bill via API to 350050 - SPOTCASH Acc. 9410552</t>
  </si>
  <si>
    <t>9410552</t>
  </si>
  <si>
    <t>UI2SB4X60L</t>
  </si>
  <si>
    <t>Business Pay Bill via API to 765244 - Bingwa Sacco Society Ltd C2B Acc. 24993400</t>
  </si>
  <si>
    <t>24993400</t>
  </si>
  <si>
    <t>UI2SB4XEEO</t>
  </si>
  <si>
    <t>Business Pay Bill via API to 765244 - Bingwa Sacco Society Ltd C2B Acc. 27793097</t>
  </si>
  <si>
    <t>27793097</t>
  </si>
  <si>
    <t>UI2SB4XED0</t>
  </si>
  <si>
    <t>02-09-2026 17:03:49</t>
  </si>
  <si>
    <t>Business Buy Goods at 7109536 - TITUS    MORGAN    ABURILI via API REF Bill Payment 1440382 to 9095351</t>
  </si>
  <si>
    <t>7109536 - TITUS    MORGAN    ABURILI</t>
  </si>
  <si>
    <t>UI2SB4X7BT</t>
  </si>
  <si>
    <t>02-09-2026 16:59:11</t>
  </si>
  <si>
    <t>Business Buy Goods at 7673391 - ELSHADAI MINI SHOP - 2 via API REF Bill Payment 254115223108 to 3017887</t>
  </si>
  <si>
    <t>7673391 - ELSHADAI MINI SHOP - 2</t>
  </si>
  <si>
    <t>UI2SB4X8JF</t>
  </si>
  <si>
    <t>02-09-2026 16:57:26</t>
  </si>
  <si>
    <t>02-09-2026 16:57:22</t>
  </si>
  <si>
    <t>Business Pay Bill via API to 852648 - FORTUNE SACCO C2B Acc. 41616569</t>
  </si>
  <si>
    <t>41616569</t>
  </si>
  <si>
    <t>UI2SB4X8JC</t>
  </si>
  <si>
    <t>02-09-2026 16:57:13</t>
  </si>
  <si>
    <t>Business Pay Bill via API to 765244 - Bingwa Sacco Society Ltd C2B Acc. 24126501</t>
  </si>
  <si>
    <t>24126501</t>
  </si>
  <si>
    <t>UI2SB4XBA8</t>
  </si>
  <si>
    <t>02-09-2026 16:57:05</t>
  </si>
  <si>
    <t>02-09-2026 16:57:04</t>
  </si>
  <si>
    <t>Business Pay Bill via API to 350050 - SPOTCASH Acc. 10332427</t>
  </si>
  <si>
    <t>10332427</t>
  </si>
  <si>
    <t>UI2SB4X5WK</t>
  </si>
  <si>
    <t>Business Pay Bill via API to 765244 - Bingwa Sacco Society Ltd C2B Acc. 3381006</t>
  </si>
  <si>
    <t>3381006</t>
  </si>
  <si>
    <t>UI2SB4X9UN</t>
  </si>
  <si>
    <t>02-09-2026 16:57:03</t>
  </si>
  <si>
    <t>02-09-2026 16:57:01</t>
  </si>
  <si>
    <t>Business Pay Bill via API to 350050 - SPOTCASH Acc. 2925277</t>
  </si>
  <si>
    <t>2925277</t>
  </si>
  <si>
    <t>UI2SB4XEAP</t>
  </si>
  <si>
    <t>02-09-2026 16:56:59</t>
  </si>
  <si>
    <t>Business Pay Bill via API to 765244 - Bingwa Sacco Society Ltd C2B Acc. 9717591</t>
  </si>
  <si>
    <t>9717591</t>
  </si>
  <si>
    <t>UI2SB4X7B8</t>
  </si>
  <si>
    <t>02-09-2026 16:56:58</t>
  </si>
  <si>
    <t>Business Pay Bill via API to 765244 - Bingwa Sacco Society Ltd C2B Acc. 10644045</t>
  </si>
  <si>
    <t>10644045</t>
  </si>
  <si>
    <t>UI2SB4XCTJ</t>
  </si>
  <si>
    <t>02-09-2026 16:56:57</t>
  </si>
  <si>
    <t>Business Pay Bill via API to 765244 - Bingwa Sacco Society Ltd C2B Acc. 23252605</t>
  </si>
  <si>
    <t>23252605</t>
  </si>
  <si>
    <t>UI2SB4X5WI</t>
  </si>
  <si>
    <t>02-09-2026 16:56:52</t>
  </si>
  <si>
    <t>Business Pay Bill via API to 765244 - Bingwa Sacco Society Ltd C2B Acc. 31527977</t>
  </si>
  <si>
    <t>31527977</t>
  </si>
  <si>
    <t>UI2SB4X8J7</t>
  </si>
  <si>
    <t>02-09-2026 16:56:36</t>
  </si>
  <si>
    <t>Business Pay Bill via API to 765244 - Bingwa Sacco Society Ltd C2B Acc. 26772826</t>
  </si>
  <si>
    <t>26772826</t>
  </si>
  <si>
    <t>UI2SB4X7B2</t>
  </si>
  <si>
    <t>02-09-2026 16:56:23</t>
  </si>
  <si>
    <t>Business Pay Bill via API to 765244 - Bingwa Sacco Society Ltd C2B Acc. 24309709</t>
  </si>
  <si>
    <t>24309709</t>
  </si>
  <si>
    <t>UI2SB4XCTC</t>
  </si>
  <si>
    <t>02-09-2026 16:56:21</t>
  </si>
  <si>
    <t>Business Pay Bill via API to 765244 - Bingwa Sacco Society Ltd C2B Acc. 40544019</t>
  </si>
  <si>
    <t>40544019</t>
  </si>
  <si>
    <t>UI2SB4X7B1</t>
  </si>
  <si>
    <t>Business Pay Bill via API to 765244 - Bingwa Sacco Society Ltd C2B Acc. 23348009</t>
  </si>
  <si>
    <t>23348009</t>
  </si>
  <si>
    <t>UI2SB4X9UE</t>
  </si>
  <si>
    <t>02-09-2026 16:56:19</t>
  </si>
  <si>
    <t>Business Pay Bill via API to 765244 - Bingwa Sacco Society Ltd C2B Acc. 23683276</t>
  </si>
  <si>
    <t>23683276</t>
  </si>
  <si>
    <t>UI2SB4XCT8</t>
  </si>
  <si>
    <t>02-09-2026 16:56:14</t>
  </si>
  <si>
    <t>Business Pay Bill via API to 765244 - Bingwa Sacco Society Ltd C2B Acc. 33146148</t>
  </si>
  <si>
    <t>33146148</t>
  </si>
  <si>
    <t>UI2SB4XCT7</t>
  </si>
  <si>
    <t>Business Pay Bill via API to 765244 - Bingwa Sacco Society Ltd C2B Acc. 37542774</t>
  </si>
  <si>
    <t>37542774</t>
  </si>
  <si>
    <t>UI2SB4X7AV</t>
  </si>
  <si>
    <t>02-09-2026 16:56:13</t>
  </si>
  <si>
    <t>Business Pay Bill via API to 765244 - Bingwa Sacco Society Ltd C2B Acc. 23580236</t>
  </si>
  <si>
    <t>23580236</t>
  </si>
  <si>
    <t>UI2SB4X5WD</t>
  </si>
  <si>
    <t>02-09-2026 16:56:12</t>
  </si>
  <si>
    <t>02-09-2026 16:56:11</t>
  </si>
  <si>
    <t>Business Pay Bill via API to 765244 - Bingwa Sacco Society Ltd C2B Acc. 22158265</t>
  </si>
  <si>
    <t>22158265</t>
  </si>
  <si>
    <t>UI2SB4X8FZ</t>
  </si>
  <si>
    <t>02-09-2026 16:46:46</t>
  </si>
  <si>
    <t>Business Buy Goods at 710193 - CARREFOUR NGN till 7 via API REF Bill Payment 784176 to 712567</t>
  </si>
  <si>
    <t>710193 - CARREFOUR NGN till 7</t>
  </si>
  <si>
    <t>UI2SB4X5SK</t>
  </si>
  <si>
    <t>02-09-2026 16:46:01</t>
  </si>
  <si>
    <t>Business Buy Goods at 5556198 - JANAGRIC SOLUTIONS via API REF Bill Payment 1326697 to 5628144</t>
  </si>
  <si>
    <t>5556198 - JANAGRIC SOLUTIONS</t>
  </si>
  <si>
    <t>UI2SB4XB6N</t>
  </si>
  <si>
    <t>02-09-2026 16:45:03</t>
  </si>
  <si>
    <t>Business Buy Goods at 701158 - Java Eldoret via API REF Bill Payment 1319094 to 947868</t>
  </si>
  <si>
    <t>701158 - Java Eldoret</t>
  </si>
  <si>
    <t>UI2SB4X8EO</t>
  </si>
  <si>
    <t>02-09-2026 16:42:04</t>
  </si>
  <si>
    <t>Business Pay Bill via API to 4037923 - HAWK VISION TECHNOLOGIES LIMITED1 Acc. AHAINNOVATE</t>
  </si>
  <si>
    <t>4037923 - HAWK VISION TECHNOLOGIES LIMITED1</t>
  </si>
  <si>
    <t>AHAINNOVATE</t>
  </si>
  <si>
    <t>UI2SB4XE5X</t>
  </si>
  <si>
    <t>02-09-2026 16:40:42</t>
  </si>
  <si>
    <t>Business Pay Bill via API to 542542 - IM BANK C2B Acc. 874178</t>
  </si>
  <si>
    <t>874178</t>
  </si>
  <si>
    <t>UI2SB4XCNH</t>
  </si>
  <si>
    <t>02-09-2026 16:38:28</t>
  </si>
  <si>
    <t>Business Buy Goods at 7180951 - CABRANDO ENTERPRISES LTD via API REF Bill Payment 520420 to 5120385</t>
  </si>
  <si>
    <t>7180951 - CABRANDO ENTERPRISES LTD</t>
  </si>
  <si>
    <t>UI2SB4X5QK</t>
  </si>
  <si>
    <t>02-09-2026 16:38:26</t>
  </si>
  <si>
    <t>Business Buy Goods at 5382820 - SPM AFRICA LIMITED                   HQ via API REF Bill Payment 110311 to 4761272</t>
  </si>
  <si>
    <t>5382820 - SPM AFRICA LIMITED                   HQ</t>
  </si>
  <si>
    <t>UI2SB4X9O4</t>
  </si>
  <si>
    <t>02-09-2026 16:37:53</t>
  </si>
  <si>
    <t>02-09-2026 16:37:49</t>
  </si>
  <si>
    <t>Business Pay Bill via API to 852648 - FORTUNE SACCO C2B Acc. 11065156</t>
  </si>
  <si>
    <t>11065156</t>
  </si>
  <si>
    <t>UI2SB4X9O3</t>
  </si>
  <si>
    <t>02-09-2026 16:37:51</t>
  </si>
  <si>
    <t>02-09-2026 16:37:47</t>
  </si>
  <si>
    <t>Business Pay Bill via API to 852648 - FORTUNE SACCO C2B Acc. 22296764</t>
  </si>
  <si>
    <t>22296764</t>
  </si>
  <si>
    <t>UI2SB4X8DF</t>
  </si>
  <si>
    <t>Business Pay Bill via API to 765244 - Bingwa Sacco Society Ltd C2B Acc. 28224048</t>
  </si>
  <si>
    <t>28224048</t>
  </si>
  <si>
    <t>UI2SB4X8DC</t>
  </si>
  <si>
    <t>02-09-2026 16:37:45</t>
  </si>
  <si>
    <t>Business Pay Bill via API to 852648 - FORTUNE SACCO C2B Acc. 25704520</t>
  </si>
  <si>
    <t>25704520</t>
  </si>
  <si>
    <t>UI2SB4XE4R</t>
  </si>
  <si>
    <t>Business Pay Bill via API to 765244 - Bingwa Sacco Society Ltd C2B Acc. 23995931</t>
  </si>
  <si>
    <t>23995931</t>
  </si>
  <si>
    <t>UI2SB4X8DD</t>
  </si>
  <si>
    <t>02-09-2026 16:37:46</t>
  </si>
  <si>
    <t>Business Pay Bill via API to 765244 - Bingwa Sacco Society Ltd C2B Acc. 29813799</t>
  </si>
  <si>
    <t>29813799</t>
  </si>
  <si>
    <t>UI2SB4XE4P</t>
  </si>
  <si>
    <t>Business Pay Bill via API to 350050 - SPOTCASH Acc. 2108</t>
  </si>
  <si>
    <t>2108</t>
  </si>
  <si>
    <t>UI2SB4XB42</t>
  </si>
  <si>
    <t>Business Pay Bill via API to 765244 - Bingwa Sacco Society Ltd C2B Acc. 13239822</t>
  </si>
  <si>
    <t>13239822</t>
  </si>
  <si>
    <t>UI2SB4XCN8</t>
  </si>
  <si>
    <t>Business Pay Bill via API to 765244 - Bingwa Sacco Society Ltd C2B Acc. 7074193</t>
  </si>
  <si>
    <t>7074193</t>
  </si>
  <si>
    <t>UI2SB4X9O1</t>
  </si>
  <si>
    <t>02-09-2026 16:37:42</t>
  </si>
  <si>
    <t>Business Pay Bill via API to 852648 - FORTUNE SACCO C2B Acc. 23402234</t>
  </si>
  <si>
    <t>23402234</t>
  </si>
  <si>
    <t>UI2SB4XCN6</t>
  </si>
  <si>
    <t>02-09-2026 16:37:41</t>
  </si>
  <si>
    <t>UI2SB4X8DB</t>
  </si>
  <si>
    <t>Business Pay Bill via API to 765244 - Bingwa Sacco Society Ltd C2B Acc. 31491667</t>
  </si>
  <si>
    <t>31491667</t>
  </si>
  <si>
    <t>UI2SB4X5QB</t>
  </si>
  <si>
    <t>Business Pay Bill via API to 765244 - Bingwa Sacco Society Ltd C2B Acc. 29201540</t>
  </si>
  <si>
    <t>29201540</t>
  </si>
  <si>
    <t>UI2SB4X9NZ</t>
  </si>
  <si>
    <t>Business Pay Bill via API to 852648 - FORTUNE SACCO C2B Acc. 2922213</t>
  </si>
  <si>
    <t>2922213</t>
  </si>
  <si>
    <t>UI2SB4X5Q9</t>
  </si>
  <si>
    <t>02-09-2026 16:37:43</t>
  </si>
  <si>
    <t>Business Pay Bill via API to 765244 - Bingwa Sacco Society Ltd C2B Acc. 2924863</t>
  </si>
  <si>
    <t>2924863</t>
  </si>
  <si>
    <t>UI2SB4XB3Y</t>
  </si>
  <si>
    <t>02-09-2026 16:37:39</t>
  </si>
  <si>
    <t>Business Pay Bill via API to 852648 - FORTUNE SACCO C2B Acc. 24894183</t>
  </si>
  <si>
    <t>24894183</t>
  </si>
  <si>
    <t>UI2SB4X9O2</t>
  </si>
  <si>
    <t>Business Pay Bill via API to 765244 - Bingwa Sacco Society Ltd C2B Acc. 31856512</t>
  </si>
  <si>
    <t>31856512</t>
  </si>
  <si>
    <t>UI2SB4XB3W</t>
  </si>
  <si>
    <t>02-09-2026 16:37:38</t>
  </si>
  <si>
    <t>Business Pay Bill via API to 852648 - FORTUNE SACCO C2B Acc. 29886864</t>
  </si>
  <si>
    <t>29886864</t>
  </si>
  <si>
    <t>UI2SB4XE4O</t>
  </si>
  <si>
    <t>Business Pay Bill via API to 350050 - SPOTCASH Acc. 12544872</t>
  </si>
  <si>
    <t>12544872</t>
  </si>
  <si>
    <t>UI2SB4XCN7</t>
  </si>
  <si>
    <t>Business Pay Bill via API to 765244 - Bingwa Sacco Society Ltd C2B Acc. 31366371</t>
  </si>
  <si>
    <t>31366371</t>
  </si>
  <si>
    <t>UI2SB4X9O0</t>
  </si>
  <si>
    <t>Business Pay Bill via API to 765244 - Bingwa Sacco Society Ltd C2B Acc. 29084975</t>
  </si>
  <si>
    <t>29084975</t>
  </si>
  <si>
    <t>UI2SB4X8D7</t>
  </si>
  <si>
    <t>Business Pay Bill via API to 350050 - SPOTCASH Acc. 2924393</t>
  </si>
  <si>
    <t>2924393</t>
  </si>
  <si>
    <t>UI2SB4X8D8</t>
  </si>
  <si>
    <t>Business Pay Bill via API to 765244 - Bingwa Sacco Society Ltd C2B Acc. 2922904</t>
  </si>
  <si>
    <t>2922904</t>
  </si>
  <si>
    <t>UI2SB4X757</t>
  </si>
  <si>
    <t>02-09-2026 16:37:40</t>
  </si>
  <si>
    <t>Business Pay Bill via API to 765244 - Bingwa Sacco Society Ltd C2B Acc. 21689486</t>
  </si>
  <si>
    <t>21689486</t>
  </si>
  <si>
    <t>UI2SB4X756</t>
  </si>
  <si>
    <t>Business Pay Bill via API to 765244 - Bingwa Sacco Society Ltd C2B Acc. 22936096</t>
  </si>
  <si>
    <t>22936096</t>
  </si>
  <si>
    <t>UI2SB4X5Q7</t>
  </si>
  <si>
    <t>Business Pay Bill via API to 765244 - Bingwa Sacco Society Ltd C2B Acc. 13473489</t>
  </si>
  <si>
    <t>13473489</t>
  </si>
  <si>
    <t>UI2SB4XE4L</t>
  </si>
  <si>
    <t>Business Pay Bill via API to 765244 - Bingwa Sacco Society Ltd C2B Acc. 2924899</t>
  </si>
  <si>
    <t>2924899</t>
  </si>
  <si>
    <t>UI2SB4X9NX</t>
  </si>
  <si>
    <t>Business Pay Bill via API to 765244 - Bingwa Sacco Society Ltd C2B Acc. 35302800</t>
  </si>
  <si>
    <t>35302800</t>
  </si>
  <si>
    <t>UI2SB4X9NW</t>
  </si>
  <si>
    <t>Business Pay Bill via API to 765244 - Bingwa Sacco Society Ltd C2B Acc. 33543572</t>
  </si>
  <si>
    <t>33543572</t>
  </si>
  <si>
    <t>UI2SB4XB3Z</t>
  </si>
  <si>
    <t>Business Pay Bill via API to 765244 - Bingwa Sacco Society Ltd C2B Acc. 22094500</t>
  </si>
  <si>
    <t>22094500</t>
  </si>
  <si>
    <t>UI2SB4X754</t>
  </si>
  <si>
    <t>02-09-2026 16:37:36</t>
  </si>
  <si>
    <t>Business Pay Bill via API to 852648 - FORTUNE SACCO C2B Acc. 22238192</t>
  </si>
  <si>
    <t>22238192</t>
  </si>
  <si>
    <t>UI2SB4X9NV</t>
  </si>
  <si>
    <t>Business Pay Bill via API to 765244 - Bingwa Sacco Society Ltd C2B Acc. 26712344</t>
  </si>
  <si>
    <t>26712344</t>
  </si>
  <si>
    <t>UI2SB4X755</t>
  </si>
  <si>
    <t>Business Pay Bill via API to 765244 - Bingwa Sacco Society Ltd C2B Acc. 28432867</t>
  </si>
  <si>
    <t>28432867</t>
  </si>
  <si>
    <t>UI2SB4XCN5</t>
  </si>
  <si>
    <t>Business Pay Bill via API to 765244 - Bingwa Sacco Society Ltd C2B Acc. 8796998</t>
  </si>
  <si>
    <t>8796998</t>
  </si>
  <si>
    <t>UI2SB4X9NU</t>
  </si>
  <si>
    <t>Business Pay Bill via API to 765244 - Bingwa Sacco Society Ltd C2B Acc. 13473686</t>
  </si>
  <si>
    <t>13473686</t>
  </si>
  <si>
    <t>UI2SB4XE4I</t>
  </si>
  <si>
    <t>02-09-2026 16:37:37</t>
  </si>
  <si>
    <t>UI2SB4X752</t>
  </si>
  <si>
    <t>02-09-2026 16:37:31</t>
  </si>
  <si>
    <t>Business Pay Bill via API to 852648 - FORTUNE SACCO C2B Acc. 25168926</t>
  </si>
  <si>
    <t>25168926</t>
  </si>
  <si>
    <t>UI2SB4X5Q4</t>
  </si>
  <si>
    <t>02-09-2026 16:37:35</t>
  </si>
  <si>
    <t>Business Pay Bill via API to 350050 - SPOTCASH Acc. 11261989</t>
  </si>
  <si>
    <t>11261989</t>
  </si>
  <si>
    <t>UI2SB4X753</t>
  </si>
  <si>
    <t>Business Pay Bill via API to 765244 - Bingwa Sacco Society Ltd C2B Acc. 23231703</t>
  </si>
  <si>
    <t>23231703</t>
  </si>
  <si>
    <t>UI2SB4XE4H</t>
  </si>
  <si>
    <t>Business Pay Bill via API to 765244 - Bingwa Sacco Society Ltd C2B Acc. 21141335</t>
  </si>
  <si>
    <t>21141335</t>
  </si>
  <si>
    <t>UI2SB4XCN4</t>
  </si>
  <si>
    <t>02-09-2026 16:37:34</t>
  </si>
  <si>
    <t>Business Pay Bill via API to 350050 - SPOTCASH Acc. 22834291</t>
  </si>
  <si>
    <t>22834291</t>
  </si>
  <si>
    <t>UI2SB4XB3T</t>
  </si>
  <si>
    <t>Business Pay Bill via API to 765244 - Bingwa Sacco Society Ltd C2B Acc. 11171494</t>
  </si>
  <si>
    <t>11171494</t>
  </si>
  <si>
    <t>UI2SB4XCN2</t>
  </si>
  <si>
    <t>02-09-2026 16:37:32</t>
  </si>
  <si>
    <t>02-09-2026 16:37:28</t>
  </si>
  <si>
    <t>Business Pay Bill via API to 852648 - FORTUNE SACCO C2B Acc. 9410872</t>
  </si>
  <si>
    <t>9410872</t>
  </si>
  <si>
    <t>UI2SB4XB3S</t>
  </si>
  <si>
    <t>Business Pay Bill via API to 765244 - Bingwa Sacco Society Ltd C2B Acc. 23347595</t>
  </si>
  <si>
    <t>23347595</t>
  </si>
  <si>
    <t>UI2SB4XB3R</t>
  </si>
  <si>
    <t>Business Pay Bill via API to 765244 - Bingwa Sacco Society Ltd C2B Acc. 23264553</t>
  </si>
  <si>
    <t>23264553</t>
  </si>
  <si>
    <t>UI2SB4XE4F</t>
  </si>
  <si>
    <t>Business Pay Bill via API to 765244 - Bingwa Sacco Society Ltd C2B Acc. 26710097</t>
  </si>
  <si>
    <t>26710097</t>
  </si>
  <si>
    <t>UI2SB4X5Q2</t>
  </si>
  <si>
    <t>Business Pay Bill via API to 765244 - Bingwa Sacco Society Ltd C2B Acc. 2922415</t>
  </si>
  <si>
    <t>2922415</t>
  </si>
  <si>
    <t>UI2SB4XB3P</t>
  </si>
  <si>
    <t>02-09-2026 16:37:30</t>
  </si>
  <si>
    <t>Business Pay Bill via API to 765244 - Bingwa Sacco Society Ltd C2B Acc. 12543340</t>
  </si>
  <si>
    <t>12543340</t>
  </si>
  <si>
    <t>UI2SB4XB3Q</t>
  </si>
  <si>
    <t>Business Pay Bill via API to 765244 - Bingwa Sacco Society Ltd C2B Acc. 7946079</t>
  </si>
  <si>
    <t>7946079</t>
  </si>
  <si>
    <t>UI2SB4X5Q0</t>
  </si>
  <si>
    <t>02-09-2026 16:37:25</t>
  </si>
  <si>
    <t>Business Pay Bill via API to 852648 - FORTUNE SACCO C2B Acc. 27466107</t>
  </si>
  <si>
    <t>27466107</t>
  </si>
  <si>
    <t>UI2SB4X74X</t>
  </si>
  <si>
    <t>02-09-2026 16:37:27</t>
  </si>
  <si>
    <t>02-09-2026 16:37:22</t>
  </si>
  <si>
    <t>UI2SB4XE4D</t>
  </si>
  <si>
    <t>02-09-2026 16:37:26</t>
  </si>
  <si>
    <t>Business Pay Bill via API to 350050 - SPOTCASH Acc. 36829847</t>
  </si>
  <si>
    <t>36829847</t>
  </si>
  <si>
    <t>UI2SB4X8D0</t>
  </si>
  <si>
    <t>Business Pay Bill via API to 852648 - FORTUNE SACCO C2B Acc. 1041884805210025</t>
  </si>
  <si>
    <t>1041884805210025</t>
  </si>
  <si>
    <t>UI2SB4X9NQ</t>
  </si>
  <si>
    <t>Business Pay Bill via API to 765244 - Bingwa Sacco Society Ltd C2B Acc. 10864172</t>
  </si>
  <si>
    <t>10864172</t>
  </si>
  <si>
    <t>UI2SB4XCN1</t>
  </si>
  <si>
    <t>02-09-2026 16:37:24</t>
  </si>
  <si>
    <t>Business Pay Bill via API to 765244 - Bingwa Sacco Society Ltd C2B Acc. 10864147</t>
  </si>
  <si>
    <t>10864147</t>
  </si>
  <si>
    <t>UI2SB4X8D1</t>
  </si>
  <si>
    <t>02-09-2026 16:37:23</t>
  </si>
  <si>
    <t>Business Pay Bill via API to 350050 - SPOTCASH Acc. 20633104</t>
  </si>
  <si>
    <t>20633104</t>
  </si>
  <si>
    <t>UI2SB4X9NP</t>
  </si>
  <si>
    <t>Business Pay Bill via API to 765244 - Bingwa Sacco Society Ltd C2B Acc. 36153069</t>
  </si>
  <si>
    <t>36153069</t>
  </si>
  <si>
    <t>UI2SB4X9NO</t>
  </si>
  <si>
    <t>Business Pay Bill via API to 765244 - Bingwa Sacco Society Ltd C2B Acc. 12473120</t>
  </si>
  <si>
    <t>12473120</t>
  </si>
  <si>
    <t>UI2SB4X9NN</t>
  </si>
  <si>
    <t>02-09-2026 16:37:21</t>
  </si>
  <si>
    <t>Business Pay Bill via API to 350050 - SPOTCASH Acc. 3125727</t>
  </si>
  <si>
    <t>3125727</t>
  </si>
  <si>
    <t>UI2SB4X8CZ</t>
  </si>
  <si>
    <t>Business Pay Bill via API to 765244 - Bingwa Sacco Society Ltd C2B Acc. 10953687</t>
  </si>
  <si>
    <t>10953687</t>
  </si>
  <si>
    <t>UI2SB4XE4C</t>
  </si>
  <si>
    <t>02-09-2026 16:37:20</t>
  </si>
  <si>
    <t>02-09-2026 16:37:19</t>
  </si>
  <si>
    <t>Business Pay Bill via API to 350050 - SPOTCASH Acc. 11818384</t>
  </si>
  <si>
    <t>11818384</t>
  </si>
  <si>
    <t>UI2SB4X8CW</t>
  </si>
  <si>
    <t>Business Pay Bill via API to 765244 - Bingwa Sacco Society Ltd C2B Acc. 8796224</t>
  </si>
  <si>
    <t>8796224</t>
  </si>
  <si>
    <t>UI2SB4X9NJ</t>
  </si>
  <si>
    <t>Business Pay Bill via API to 350050 - SPOTCASH Acc. 10192519</t>
  </si>
  <si>
    <t>10192519</t>
  </si>
  <si>
    <t>UI2SB4XCMY</t>
  </si>
  <si>
    <t>02-09-2026 16:37:15</t>
  </si>
  <si>
    <t>02-09-2026 16:37:11</t>
  </si>
  <si>
    <t>Business Pay Bill via API to 852648 - FORTUNE SACCO C2B Acc. 0233886</t>
  </si>
  <si>
    <t>0233886</t>
  </si>
  <si>
    <t>UI2SB4X9NE</t>
  </si>
  <si>
    <t>02-09-2026 16:37:10</t>
  </si>
  <si>
    <t>Business Pay Bill via API to 852648 - FORTUNE SACCO C2B Acc. 26777002</t>
  </si>
  <si>
    <t>26777002</t>
  </si>
  <si>
    <t>UI2SB4X5PW</t>
  </si>
  <si>
    <t>02-09-2026 16:37:13</t>
  </si>
  <si>
    <t>02-09-2026 16:37:09</t>
  </si>
  <si>
    <t>Business Pay Bill via API to 852648 - FORTUNE SACCO C2B Acc. 13333478</t>
  </si>
  <si>
    <t>13333478</t>
  </si>
  <si>
    <t>UI2SB4XB3J</t>
  </si>
  <si>
    <t>02-09-2026 16:37:12</t>
  </si>
  <si>
    <t>Business Pay Bill via API to 350050 - SPOTCASH Acc. 10648530</t>
  </si>
  <si>
    <t>10648530</t>
  </si>
  <si>
    <t>UI2SB4X9NC</t>
  </si>
  <si>
    <t>Business Pay Bill via API to 765244 - Bingwa Sacco Society Ltd C2B Acc. 33016497</t>
  </si>
  <si>
    <t>33016497</t>
  </si>
  <si>
    <t>UI2SB4X5PV</t>
  </si>
  <si>
    <t>Business Pay Bill via API to 765244 - Bingwa Sacco Society Ltd C2B Acc. 27051381</t>
  </si>
  <si>
    <t>27051381</t>
  </si>
  <si>
    <t>UI2SB4X9NB</t>
  </si>
  <si>
    <t>02-09-2026 16:37:07</t>
  </si>
  <si>
    <t>Business Pay Bill via API to 350050 - SPOTCASH Acc. 21125220</t>
  </si>
  <si>
    <t>21125220</t>
  </si>
  <si>
    <t>UI2SB4XB3I</t>
  </si>
  <si>
    <t>Business Pay Bill via API to 765244 - Bingwa Sacco Society Ltd C2B Acc. 12879379</t>
  </si>
  <si>
    <t>12879379</t>
  </si>
  <si>
    <t>UI2SB4X9NA</t>
  </si>
  <si>
    <t>Business Pay Bill via API to 350050 - SPOTCASH Acc. 29711469</t>
  </si>
  <si>
    <t>29711469</t>
  </si>
  <si>
    <t>UI2SB4X5PT</t>
  </si>
  <si>
    <t>02-09-2026 16:37:04</t>
  </si>
  <si>
    <t>Business Pay Bill via API to 765244 - Bingwa Sacco Society Ltd C2B Acc. 8600399</t>
  </si>
  <si>
    <t>8600399</t>
  </si>
  <si>
    <t>UI2SB4X5PS</t>
  </si>
  <si>
    <t>02-09-2026 16:37:03</t>
  </si>
  <si>
    <t>Business Pay Bill via API to 765244 - Bingwa Sacco Society Ltd C2B Acc. 26994742</t>
  </si>
  <si>
    <t>26994742</t>
  </si>
  <si>
    <t>UI2SB4X9N8</t>
  </si>
  <si>
    <t>02-09-2026 16:37:02</t>
  </si>
  <si>
    <t>Business Pay Bill via API to 765244 - Bingwa Sacco Society Ltd C2B Acc. 11818306</t>
  </si>
  <si>
    <t>11818306</t>
  </si>
  <si>
    <t>UI2SB4XE46</t>
  </si>
  <si>
    <t>Business Pay Bill via API to 765244 - Bingwa Sacco Society Ltd C2B Acc. 14714435</t>
  </si>
  <si>
    <t>14714435</t>
  </si>
  <si>
    <t>UI2SB4X5OU</t>
  </si>
  <si>
    <t>02-09-2026 16:34:39</t>
  </si>
  <si>
    <t>02-09-2026 16:34:34</t>
  </si>
  <si>
    <t>Business Pay Bill via API to 982800 - Prime Bank Ltd Acc. 3000222007</t>
  </si>
  <si>
    <t>982800 - Prime Bank Ltd</t>
  </si>
  <si>
    <t>3000222007</t>
  </si>
  <si>
    <t>UI2SB4X73N</t>
  </si>
  <si>
    <t>02-09-2026 16:34:10</t>
  </si>
  <si>
    <t>Business Pay Bill via API to 542542 - IM BANK C2B Acc. 671288</t>
  </si>
  <si>
    <t>671288</t>
  </si>
  <si>
    <t>UI2SB4XB17</t>
  </si>
  <si>
    <t>02-09-2026 16:29:58</t>
  </si>
  <si>
    <t>Business Buy Goods at 7760434 - MARKSY ELECTRICALS via API REF Bill Payment 1331783 to 9703073</t>
  </si>
  <si>
    <t>7760434 - MARKSY ELECTRICALS</t>
  </si>
  <si>
    <t>UI2SB4X5M1</t>
  </si>
  <si>
    <t>02-09-2026 16:27:09</t>
  </si>
  <si>
    <t>Business Pay Bill via API to 522533 - Lipa na KCB Acc. 9797999</t>
  </si>
  <si>
    <t>522533 - Lipa na KCB</t>
  </si>
  <si>
    <t>9797999</t>
  </si>
  <si>
    <t>UI2SB4X70J</t>
  </si>
  <si>
    <t>02-09-2026 16:26:31</t>
  </si>
  <si>
    <t>02-09-2026 16:26:28</t>
  </si>
  <si>
    <t>UI2SB4X70I</t>
  </si>
  <si>
    <t>02-09-2026 16:26:26</t>
  </si>
  <si>
    <t>02-09-2026 16:26:25</t>
  </si>
  <si>
    <t>UI2SB4XCIR</t>
  </si>
  <si>
    <t>UI2SB4X5LP</t>
  </si>
  <si>
    <t>02-09-2026 16:26:24</t>
  </si>
  <si>
    <t>UI2SB4XAZL</t>
  </si>
  <si>
    <t>02-09-2026 16:26:22</t>
  </si>
  <si>
    <t>02-09-2026 16:26:17</t>
  </si>
  <si>
    <t>UI2SB4X88J</t>
  </si>
  <si>
    <t>02-09-2026 16:26:19</t>
  </si>
  <si>
    <t>Business Pay Bill via API to 765244 - Bingwa Sacco Society Ltd C2B Acc. 9581082</t>
  </si>
  <si>
    <t>9581082</t>
  </si>
  <si>
    <t>UI2SB4X5LM</t>
  </si>
  <si>
    <t>UI2SB4X9JI</t>
  </si>
  <si>
    <t>02-09-2026 16:26:18</t>
  </si>
  <si>
    <t>UI2SB4XCIP</t>
  </si>
  <si>
    <t>UI2SB4XAZK</t>
  </si>
  <si>
    <t>02-09-2026 16:26:15</t>
  </si>
  <si>
    <t>Business Pay Bill via API to 765244 - Bingwa Sacco Society Ltd C2B Acc. 12978063</t>
  </si>
  <si>
    <t>12978063</t>
  </si>
  <si>
    <t>UI2SB4X5LK</t>
  </si>
  <si>
    <t>Business Pay Bill via API to 765244 - Bingwa Sacco Society Ltd C2B Acc. 24375662</t>
  </si>
  <si>
    <t>24375662</t>
  </si>
  <si>
    <t>UI2SB4X9JH</t>
  </si>
  <si>
    <t>02-09-2026 16:26:12</t>
  </si>
  <si>
    <t>UI2SB4XE05</t>
  </si>
  <si>
    <t>02-09-2026 16:26:08</t>
  </si>
  <si>
    <t>02-09-2026 16:26:04</t>
  </si>
  <si>
    <t>UI2SB4X5LE</t>
  </si>
  <si>
    <t>02-09-2026 16:26:03</t>
  </si>
  <si>
    <t>02-09-2026 16:26:00</t>
  </si>
  <si>
    <t>Business Pay Bill via API to 852648 - FORTUNE SACCO C2B Acc. 21784315</t>
  </si>
  <si>
    <t>21784315</t>
  </si>
  <si>
    <t>UI2SB4XE01</t>
  </si>
  <si>
    <t>02-09-2026 16:25:56</t>
  </si>
  <si>
    <t>Business Pay Bill via API to 765244 - Bingwa Sacco Society Ltd C2B Acc. 14504021</t>
  </si>
  <si>
    <t>14504021</t>
  </si>
  <si>
    <t>UI2SB4X88E</t>
  </si>
  <si>
    <t>02-09-2026 16:25:53</t>
  </si>
  <si>
    <t>Business Pay Bill via API to 765244 - Bingwa Sacco Society Ltd C2B Acc. 21555334</t>
  </si>
  <si>
    <t>21555334</t>
  </si>
  <si>
    <t>UI2SB4X88C</t>
  </si>
  <si>
    <t>02-09-2026 16:25:50</t>
  </si>
  <si>
    <t>Business Pay Bill via API to 765244 - Bingwa Sacco Society Ltd C2B Acc. 32927784</t>
  </si>
  <si>
    <t>32927784</t>
  </si>
  <si>
    <t>UI2SB4X5L8</t>
  </si>
  <si>
    <t>02-09-2026 16:25:45</t>
  </si>
  <si>
    <t>Business Pay Bill via API to 350050 - SPOTCASH Acc. 2924809</t>
  </si>
  <si>
    <t>2924809</t>
  </si>
  <si>
    <t>UI2SB4X9J8</t>
  </si>
  <si>
    <t>02-09-2026 16:25:41</t>
  </si>
  <si>
    <t>Business Pay Bill via API to 852648 - FORTUNE SACCO C2B Acc. 32585723</t>
  </si>
  <si>
    <t>32585723</t>
  </si>
  <si>
    <t>UI2SB4XCIF</t>
  </si>
  <si>
    <t>Business Pay Bill via API to 852648 - FORTUNE SACCO C2B Acc. 2926419</t>
  </si>
  <si>
    <t>2926419</t>
  </si>
  <si>
    <t>UI2SB4XAZ9</t>
  </si>
  <si>
    <t>Business Pay Bill via API to 765244 - Bingwa Sacco Society Ltd C2B Acc. 23348156</t>
  </si>
  <si>
    <t>23348156</t>
  </si>
  <si>
    <t>UI2SB4XAZ7</t>
  </si>
  <si>
    <t>02-09-2026 16:25:36</t>
  </si>
  <si>
    <t>02-09-2026 16:25:34</t>
  </si>
  <si>
    <t>Business Pay Bill via API to 852648 - FORTUNE SACCO C2B Acc. 1040133575210042</t>
  </si>
  <si>
    <t>1040133575210042</t>
  </si>
  <si>
    <t>UI2SB4X9J4</t>
  </si>
  <si>
    <t>02-09-2026 16:25:35</t>
  </si>
  <si>
    <t>Business Pay Bill via API to 765244 - Bingwa Sacco Society Ltd C2B Acc. 117107276955003</t>
  </si>
  <si>
    <t>117107276955003</t>
  </si>
  <si>
    <t>UI2SB4X706</t>
  </si>
  <si>
    <t>Business Pay Bill via API to 765244 - Bingwa Sacco Society Ltd C2B Acc. 11599477</t>
  </si>
  <si>
    <t>11599477</t>
  </si>
  <si>
    <t>UI2SB4X889</t>
  </si>
  <si>
    <t>02-09-2026 16:25:30</t>
  </si>
  <si>
    <t>Business Pay Bill via API to 852648 - FORTUNE SACCO C2B Acc. 7918446</t>
  </si>
  <si>
    <t>7918446</t>
  </si>
  <si>
    <t>UI2SB4X705</t>
  </si>
  <si>
    <t>02-09-2026 16:25:31</t>
  </si>
  <si>
    <t>Business Pay Bill via API to 350050 - SPOTCASH Acc. 23233569</t>
  </si>
  <si>
    <t>23233569</t>
  </si>
  <si>
    <t>UI2SB4XCID</t>
  </si>
  <si>
    <t>Business Pay Bill via API to 765244 - Bingwa Sacco Society Ltd C2B Acc. 13242808</t>
  </si>
  <si>
    <t>13242808</t>
  </si>
  <si>
    <t>UI2SB4X5L5</t>
  </si>
  <si>
    <t>Business Pay Bill via API to 765244 - Bingwa Sacco Society Ltd C2B Acc. 4343194</t>
  </si>
  <si>
    <t>4343194</t>
  </si>
  <si>
    <t>UI2SB4X5L3</t>
  </si>
  <si>
    <t>02-09-2026 16:25:26</t>
  </si>
  <si>
    <t>Business Pay Bill via API to 765244 - Bingwa Sacco Society Ltd C2B Acc. 22552661</t>
  </si>
  <si>
    <t>22552661</t>
  </si>
  <si>
    <t>UI2SB4XAZ1</t>
  </si>
  <si>
    <t>02-09-2026 16:25:17</t>
  </si>
  <si>
    <t>Business Pay Bill via API to 765244 - Bingwa Sacco Society Ltd C2B Acc. 11064111</t>
  </si>
  <si>
    <t>11064111</t>
  </si>
  <si>
    <t>UI2SB4XDZO</t>
  </si>
  <si>
    <t>02-09-2026 16:25:15</t>
  </si>
  <si>
    <t>Business Pay Bill via API to 765244 - Bingwa Sacco Society Ltd C2B Acc. 21091020</t>
  </si>
  <si>
    <t>21091020</t>
  </si>
  <si>
    <t>UI2SB4X701</t>
  </si>
  <si>
    <t>02-09-2026 16:25:14</t>
  </si>
  <si>
    <t>02-09-2026 16:25:10</t>
  </si>
  <si>
    <t>Business Pay Bill via API to 852648 - FORTUNE SACCO C2B Acc. 20856186</t>
  </si>
  <si>
    <t>20856186</t>
  </si>
  <si>
    <t>UI2SB4X9J1</t>
  </si>
  <si>
    <t>02-09-2026 16:25:13</t>
  </si>
  <si>
    <t>Business Pay Bill via API to 765244 - Bingwa Sacco Society Ltd C2B Acc. 25498034</t>
  </si>
  <si>
    <t>25498034</t>
  </si>
  <si>
    <t>UI2SB4X85X</t>
  </si>
  <si>
    <t>02-09-2026 16:19:45</t>
  </si>
  <si>
    <t>02-09-2026 16:19:44</t>
  </si>
  <si>
    <t>Business Pay Bill via API to 247247 - Equity Paybill Account Acc. 1250277703167</t>
  </si>
  <si>
    <t>1250277703167</t>
  </si>
  <si>
    <t>UI2SB4XDXI</t>
  </si>
  <si>
    <t>02-09-2026 16:18:58</t>
  </si>
  <si>
    <t>Business Pay Bill via API to 880100 - NCBA BANK KENYA PLC. Acc. PAYKAPUSH</t>
  </si>
  <si>
    <t>PAYKAPUSH</t>
  </si>
  <si>
    <t>UI2SB4XCCO</t>
  </si>
  <si>
    <t>02-09-2026 16:08:29</t>
  </si>
  <si>
    <t>02-09-2026 16:08:28</t>
  </si>
  <si>
    <t>Business Pay Bill via API to 400200 - Co-operative Bank Money Transfer Acc. 1165454</t>
  </si>
  <si>
    <t>400200 - Co-operative Bank Money Transfer</t>
  </si>
  <si>
    <t>1165454</t>
  </si>
  <si>
    <t>UI2SB4X9AY</t>
  </si>
  <si>
    <t>02-09-2026 16:01:58</t>
  </si>
  <si>
    <t>Business Pay Bill via API to 626255 - VAGHELA SCHOOL CENTRE LTD Acc. v</t>
  </si>
  <si>
    <t>626255 - VAGHELA SCHOOL CENTRE LTD</t>
  </si>
  <si>
    <t>v</t>
  </si>
  <si>
    <t>UI2SB4X7U7</t>
  </si>
  <si>
    <t>02-09-2026 15:41:31</t>
  </si>
  <si>
    <t>Business Buy Goods at 7293737 - TANGO REPUBLIK via API REF Bill Payment 254795390620 to 5291253</t>
  </si>
  <si>
    <t>7293737 - TANGO REPUBLIK</t>
  </si>
  <si>
    <t>UI2SB4X2UU</t>
  </si>
  <si>
    <t>02-09-2026 15:39:39</t>
  </si>
  <si>
    <t>Business Buy Goods at 5383424 - THE LAUNDRY ROOM via API REF Bill Payment 254746383172 to 4788768</t>
  </si>
  <si>
    <t>5383424 - THE LAUNDRY ROOM</t>
  </si>
  <si>
    <t>UI2SB4X7SP</t>
  </si>
  <si>
    <t>02-09-2026 15:35:59</t>
  </si>
  <si>
    <t>Business Pay Bill via API to 600100 - Stanbic Bank Acc. 106547</t>
  </si>
  <si>
    <t>106547</t>
  </si>
  <si>
    <t>UI2SB4WZQJ</t>
  </si>
  <si>
    <t>02-09-2026 15:29:40</t>
  </si>
  <si>
    <t>UI2SB4X7QE</t>
  </si>
  <si>
    <t>02-09-2026 15:29:35</t>
  </si>
  <si>
    <t>Business Buy Goods at 518025 - SAMCHI TELCOM-MTWAPA via API REF Bill Payment 706931 to 519025</t>
  </si>
  <si>
    <t>518025 - SAMCHI TELCOM-MTWAPA</t>
  </si>
  <si>
    <t>UI2SB4X2RH</t>
  </si>
  <si>
    <t>02-09-2026 15:29:17</t>
  </si>
  <si>
    <t>UI2SB4X18B</t>
  </si>
  <si>
    <t>02-09-2026 15:25:42</t>
  </si>
  <si>
    <t>Business Buy Goods at 7288641 - RUBIS KAKAMEGA ROAD via API REF Bill Payment 520420 to 527874</t>
  </si>
  <si>
    <t>7288641 - RUBIS KAKAMEGA ROAD</t>
  </si>
  <si>
    <t>UI2SB4X15B</t>
  </si>
  <si>
    <t>02-09-2026 15:13:14</t>
  </si>
  <si>
    <t>Business Pay Bill via API to 4004309 - CASH N CARRY ESSENTIALS LIMITED Acc. C</t>
  </si>
  <si>
    <t>4004309 - CASH N CARRY ESSENTIALS LIMITED</t>
  </si>
  <si>
    <t>C</t>
  </si>
  <si>
    <t>UI2SB4X2M3</t>
  </si>
  <si>
    <t>02-09-2026 15:10:45</t>
  </si>
  <si>
    <t>UI2SB4X2HV</t>
  </si>
  <si>
    <t>02-09-2026 14:56:16</t>
  </si>
  <si>
    <t>02-09-2026 14:56:13</t>
  </si>
  <si>
    <t>Business Pay Bill via API to 852648 - FORTUNE SACCO C2B Acc. 66950</t>
  </si>
  <si>
    <t>66950</t>
  </si>
  <si>
    <t>UI2SB4X4NK</t>
  </si>
  <si>
    <t>02-09-2026 14:41:04</t>
  </si>
  <si>
    <t>Business Buy Goods at 3538119 - ALPHIS INVESTMENT COMPANY LIMITED 1 via API REF Bill Payment 414936 to 5663432</t>
  </si>
  <si>
    <t>3538119 - ALPHIS INVESTMENT COMPANY LIMITED 1</t>
  </si>
  <si>
    <t>UI2SB4WWT1</t>
  </si>
  <si>
    <t>02-09-2026 14:31:58</t>
  </si>
  <si>
    <t>Business Pay Bill via API to 222111 - Family Bank Pesa Pap Acc. 2314672</t>
  </si>
  <si>
    <t>222111 - Family Bank Pesa Pap</t>
  </si>
  <si>
    <t>2314672</t>
  </si>
  <si>
    <t>UI2SB4X3QM</t>
  </si>
  <si>
    <t>02-09-2026 14:29:07</t>
  </si>
  <si>
    <t>02-09-2026 14:29:05</t>
  </si>
  <si>
    <t>Business Pay Bill via API to 303030 - Absa Bank Kenya PLC Acc. H9QB#</t>
  </si>
  <si>
    <t>303030 - Absa Bank Kenya PLC</t>
  </si>
  <si>
    <t>H9QB#</t>
  </si>
  <si>
    <t>UI2SB4X3NJ</t>
  </si>
  <si>
    <t>02-09-2026 14:20:44</t>
  </si>
  <si>
    <t>Business Buy Goods at 9709200 - JOSEPH MURIUNGI M'KACHIUKI via API REF Bill Payment 254748897486 to 3253086</t>
  </si>
  <si>
    <t>9709200 - JOSEPH MURIUNGI M'KACHIUKI</t>
  </si>
  <si>
    <t>UI2SB4WWNG</t>
  </si>
  <si>
    <t>02-09-2026 14:16:35</t>
  </si>
  <si>
    <t>UI2SB4WXT7</t>
  </si>
  <si>
    <t>02-09-2026 14:11:29</t>
  </si>
  <si>
    <t>Business Pay Bill via API to 583674 - GURU NANAK RAMGARHIA SIKH HOSPITAL Acc. sarah</t>
  </si>
  <si>
    <t>583674 - GURU NANAK RAMGARHIA SIKH HOSPITAL</t>
  </si>
  <si>
    <t>sarah</t>
  </si>
  <si>
    <t>UI2SB4WZ35</t>
  </si>
  <si>
    <t>02-09-2026 14:08:07</t>
  </si>
  <si>
    <t>Business Buy Goods at 5342630 - CARREFOUR RUNDA MALL 04 via API REF Bill Payment 469005 to 4699876</t>
  </si>
  <si>
    <t>5342630 - CARREFOUR RUNDA MALL 04</t>
  </si>
  <si>
    <t>UI2SB4X23C</t>
  </si>
  <si>
    <t>02-09-2026 14:07:24</t>
  </si>
  <si>
    <t>02-09-2026 14:07:22</t>
  </si>
  <si>
    <t>Business Pay Bill via API to 400200 - Co-operative Bank Money Transfer Acc. 40056003</t>
  </si>
  <si>
    <t>40056003</t>
  </si>
  <si>
    <t>UI2SB4X3BX</t>
  </si>
  <si>
    <t>02-09-2026 13:39:14</t>
  </si>
  <si>
    <t>Business Buy Goods at 7400718 - DIVINE MINIMART  02 via API REF Bill Payment 164621 to 9362497</t>
  </si>
  <si>
    <t>7400718 - DIVINE MINIMART  02</t>
  </si>
  <si>
    <t>UI2SB4WYTQ</t>
  </si>
  <si>
    <t>02-09-2026 13:37:34</t>
  </si>
  <si>
    <t>02-09-2026 13:37:33</t>
  </si>
  <si>
    <t>Business Buy Goods at 4256547 - JAMES MWANIKI NJUNGE via API REF Bill Payment 164621 to 3510637</t>
  </si>
  <si>
    <t>4256547 - JAMES MWANIKI NJUNGE</t>
  </si>
  <si>
    <t>UI2SB4WYS1</t>
  </si>
  <si>
    <t>02-09-2026 13:32:55</t>
  </si>
  <si>
    <t>Business Pay Bill via API to 714777 - LOOP C2B Acc. 0757455384</t>
  </si>
  <si>
    <t>714777 - LOOP C2B</t>
  </si>
  <si>
    <t>0757455384</t>
  </si>
  <si>
    <t>UI2SB4WW8H</t>
  </si>
  <si>
    <t>02-09-2026 13:26:50</t>
  </si>
  <si>
    <t>Business Buy Goods at 7526458 - Quick Mart Outering 2 via API REF Bill Payment 110311 to 9481425</t>
  </si>
  <si>
    <t>7526458 - Quick Mart Outering 2</t>
  </si>
  <si>
    <t>UI2SB4WXB3</t>
  </si>
  <si>
    <t>02-09-2026 13:14:19</t>
  </si>
  <si>
    <t>Business Buy Goods at 6010044 - Jesro cafe via Kopo Kopo via API REF Bill Payment 413570 to 9921299</t>
  </si>
  <si>
    <t>6010044 - Jesro cafe via Kopo Kopo</t>
  </si>
  <si>
    <t>UI2SB4WTQ8</t>
  </si>
  <si>
    <t>02-09-2026 13:01:19</t>
  </si>
  <si>
    <t>02-09-2026 13:01:18</t>
  </si>
  <si>
    <t>Business Pay Bill via API to 400200 - Co-operative Bank Money Transfer Acc. 797900</t>
  </si>
  <si>
    <t>797900</t>
  </si>
  <si>
    <t>UI2SB4WX5P</t>
  </si>
  <si>
    <t>02-09-2026 12:58:23</t>
  </si>
  <si>
    <t>Business Buy Goods at 5473986 -  SLIM   ENERGY LIMITED     via API REF Bill Payment 36302 to 4961328</t>
  </si>
  <si>
    <t xml:space="preserve">5473986 -  SLIM   ENERGY LIMITED    </t>
  </si>
  <si>
    <t>UI2SB4WTP5</t>
  </si>
  <si>
    <t>02-09-2026 12:58:00</t>
  </si>
  <si>
    <t>02-09-2026 12:57:58</t>
  </si>
  <si>
    <t>Business Pay Bill via API to 247247 - Equity Paybill Account Acc. 0710658542</t>
  </si>
  <si>
    <t>0710658542</t>
  </si>
  <si>
    <t>UI2SB4WX42</t>
  </si>
  <si>
    <t>02-09-2026 12:53:08</t>
  </si>
  <si>
    <t>Real Time Withdrawal to 400200 - Co-operative Bank Money Transfer Acc.01192174364400</t>
  </si>
  <si>
    <t>Real Time Withdrawal</t>
  </si>
  <si>
    <t>01192174364400</t>
  </si>
  <si>
    <t>UI2SB4WUDK</t>
  </si>
  <si>
    <t>02-09-2026 12:37:20</t>
  </si>
  <si>
    <t>Organization Settlement Account to Organization MMF Account</t>
  </si>
  <si>
    <t>UI2SB4WOZA</t>
  </si>
  <si>
    <t>02-09-2026 12:33:12</t>
  </si>
  <si>
    <t>Business Buy Goods at 7213359 - VEROSHIMA TRADERS KAHAWA via API REF Bill Payment 1483 to 5228737</t>
  </si>
  <si>
    <t>7213359 - VEROSHIMA TRADERS KAHAWA</t>
  </si>
  <si>
    <t>UI2SB4WQIS</t>
  </si>
  <si>
    <t>02-09-2026 12:32:26</t>
  </si>
  <si>
    <t>Business Buy Goods at 113322 - SCOOBY ENTREPRISES LIMITED via API REF Bill Payment 1391815 to 113522</t>
  </si>
  <si>
    <t>113322 - SCOOBY ENTREPRISES LIMITED</t>
  </si>
  <si>
    <t>UI2SB4WOXE</t>
  </si>
  <si>
    <t>02-09-2026 12:27:52</t>
  </si>
  <si>
    <t>Business Pay Bill via API to 639498 - GDC SACCO SOCIETY LTD Acc. 28481045</t>
  </si>
  <si>
    <t>639498 - GDC SACCO SOCIETY LTD</t>
  </si>
  <si>
    <t>28481045</t>
  </si>
  <si>
    <t>UI2SB4WVPS</t>
  </si>
  <si>
    <t>Business Pay Bill via API to 639498 - GDC SACCO SOCIETY LTD Acc. 20807788</t>
  </si>
  <si>
    <t>20807788</t>
  </si>
  <si>
    <t>UI2SB4WUA8</t>
  </si>
  <si>
    <t>02-09-2026 12:27:51</t>
  </si>
  <si>
    <t>Business Pay Bill via API to 639498 - GDC SACCO SOCIETY LTD Acc. 9267377</t>
  </si>
  <si>
    <t>9267377</t>
  </si>
  <si>
    <t>UI2SB4WVPQ</t>
  </si>
  <si>
    <t>Business Pay Bill via API to 639498 - GDC SACCO SOCIETY LTD Acc. 23614427</t>
  </si>
  <si>
    <t>23614427</t>
  </si>
  <si>
    <t>UI2SB4WOXC</t>
  </si>
  <si>
    <t>Business Pay Bill via API to 639498 - GDC SACCO SOCIETY LTD Acc. 876996574</t>
  </si>
  <si>
    <t>876996574</t>
  </si>
  <si>
    <t>UI2SB4WUA7</t>
  </si>
  <si>
    <t>02-09-2026 12:27:50</t>
  </si>
  <si>
    <t>Business Pay Bill via API to 639498 - GDC SACCO SOCIETY LTD Acc. 7247746</t>
  </si>
  <si>
    <t>7247746</t>
  </si>
  <si>
    <t>UI2SB4WVPP</t>
  </si>
  <si>
    <t>02-09-2026 12:27:49</t>
  </si>
  <si>
    <t>Business Pay Bill via API to 644700 - TAI SACCO SOCIETY LIMITED Acc. 001007888801</t>
  </si>
  <si>
    <t>644700 - TAI SACCO SOCIETY LIMITED</t>
  </si>
  <si>
    <t>001007888801</t>
  </si>
  <si>
    <t>UI2SB4WOXB</t>
  </si>
  <si>
    <t>Business Pay Bill via API to 639498 - GDC SACCO SOCIETY LTD Acc. 4929856</t>
  </si>
  <si>
    <t>4929856</t>
  </si>
  <si>
    <t>UI2SB4WVPO</t>
  </si>
  <si>
    <t>Business Pay Bill via API to 639498 - GDC SACCO SOCIETY LTD Acc. 4242139</t>
  </si>
  <si>
    <t>4242139</t>
  </si>
  <si>
    <t>UI2SB4WQHH</t>
  </si>
  <si>
    <t>Business Pay Bill via API to 639498 - GDC SACCO SOCIETY LTD Acc. 10975802</t>
  </si>
  <si>
    <t>10975802</t>
  </si>
  <si>
    <t>UI2SB4WVPN</t>
  </si>
  <si>
    <t>02-09-2026 12:27:48</t>
  </si>
  <si>
    <t>Business Pay Bill via API to 639498 - GDC SACCO SOCIETY LTD Acc. 9861337</t>
  </si>
  <si>
    <t>9861337</t>
  </si>
  <si>
    <t>UI2SB4WTFF</t>
  </si>
  <si>
    <t>Business Pay Bill via API to 639498 - GDC SACCO SOCIETY LTD Acc. 9376383</t>
  </si>
  <si>
    <t>9376383</t>
  </si>
  <si>
    <t>UI2SB4WTFG</t>
  </si>
  <si>
    <t>Business Pay Bill via API to 639498 - GDC SACCO SOCIETY LTD Acc. 11115552</t>
  </si>
  <si>
    <t>11115552</t>
  </si>
  <si>
    <t>UI2SB4WWVJ</t>
  </si>
  <si>
    <t>Business Pay Bill via API to 639498 - GDC SACCO SOCIETY LTD Acc. 27205040</t>
  </si>
  <si>
    <t>27205040</t>
  </si>
  <si>
    <t>UI2SB4WS0S</t>
  </si>
  <si>
    <t>02-09-2026 12:27:47</t>
  </si>
  <si>
    <t>Business Pay Bill via API to 639498 - GDC SACCO SOCIETY LTD Acc. 21442179</t>
  </si>
  <si>
    <t>21442179</t>
  </si>
  <si>
    <t>UI2SB4WWVI</t>
  </si>
  <si>
    <t>Business Pay Bill via API to 639498 - GDC SACCO SOCIETY LTD Acc. 34274749</t>
  </si>
  <si>
    <t>34274749</t>
  </si>
  <si>
    <t>UI2SB4WVPM</t>
  </si>
  <si>
    <t>Business Pay Bill via API to 639498 - GDC SACCO SOCIETY LTD Acc. 14686451</t>
  </si>
  <si>
    <t>14686451</t>
  </si>
  <si>
    <t>UI2SB4WVPL</t>
  </si>
  <si>
    <t>Business Pay Bill via API to 639498 - GDC SACCO SOCIETY LTD Acc. 3096601</t>
  </si>
  <si>
    <t>3096601</t>
  </si>
  <si>
    <t>UI2SB4WWVH</t>
  </si>
  <si>
    <t>02-09-2026 12:27:45</t>
  </si>
  <si>
    <t>Business Pay Bill via API to 639498 - GDC SACCO SOCIETY LTD Acc. 4924978</t>
  </si>
  <si>
    <t>4924978</t>
  </si>
  <si>
    <t>UI2SB4WUA6</t>
  </si>
  <si>
    <t>Business Pay Bill via API to 639498 - GDC SACCO SOCIETY LTD Acc. 12525060</t>
  </si>
  <si>
    <t>12525060</t>
  </si>
  <si>
    <t>UI2SB4WVPJ</t>
  </si>
  <si>
    <t>02-09-2026 12:27:44</t>
  </si>
  <si>
    <t>Business Pay Bill via API to 639498 - GDC SACCO SOCIETY LTD Acc. 22159541</t>
  </si>
  <si>
    <t>22159541</t>
  </si>
  <si>
    <t>UI2SB4WVP2</t>
  </si>
  <si>
    <t>02-09-2026 12:26:41</t>
  </si>
  <si>
    <t>Business Buy Goods at 7716558 - RUTH NYABONYE                       via API REF Bill Payment 453498 to 9670109</t>
  </si>
  <si>
    <t xml:space="preserve">7716558 - RUTH NYABONYE                      </t>
  </si>
  <si>
    <t>UI2SB4WNKB</t>
  </si>
  <si>
    <t>02-09-2026 12:22:53</t>
  </si>
  <si>
    <t>02-09-2026 12:22:52</t>
  </si>
  <si>
    <t>Business Pay Bill via API to 910200 - Guaranty Trust Bank Ltd Acc. 2210003653</t>
  </si>
  <si>
    <t>910200 - Guaranty Trust Bank Ltd</t>
  </si>
  <si>
    <t>2210003653</t>
  </si>
  <si>
    <t>UI2SB4WQDX</t>
  </si>
  <si>
    <t>02-09-2026 12:18:43</t>
  </si>
  <si>
    <t>Business Buy Goods at 6707263 - SHELL TECO SERVICE STATION_Pump 5 via API REF Bill Payment 1116456 to 4106574</t>
  </si>
  <si>
    <t>6707263 - SHELL TECO SERVICE STATION_Pump 5</t>
  </si>
  <si>
    <t>UI2SB4WU5V</t>
  </si>
  <si>
    <t>02-09-2026 12:10:46</t>
  </si>
  <si>
    <t>Business Pay Bill via API to 823244 - Stima SACCO Society ltd Acc. 801047054501</t>
  </si>
  <si>
    <t>823244 - Stima SACCO Society ltd</t>
  </si>
  <si>
    <t>801047054501</t>
  </si>
  <si>
    <t>UI2SB4WU5B</t>
  </si>
  <si>
    <t>02-09-2026 12:07:07</t>
  </si>
  <si>
    <t>02-09-2026 12:07:05</t>
  </si>
  <si>
    <t>Business Pay Bill via API to 400200 - Co-operative Bank Money Transfer Acc. 01116560460900</t>
  </si>
  <si>
    <t>01116560460900</t>
  </si>
  <si>
    <t>UI2SB4WQ67</t>
  </si>
  <si>
    <t>02-09-2026 11:48:58</t>
  </si>
  <si>
    <t>Business Buy Goods at 6518431 - BLEJOMA SUPPLIES VIA NCBA via API REF Bill Payment 1606341 to 8811560</t>
  </si>
  <si>
    <t>6518431 - BLEJOMA SUPPLIES VIA NCBA</t>
  </si>
  <si>
    <t>UI2SB4WT29</t>
  </si>
  <si>
    <t>02-09-2026 11:44:11</t>
  </si>
  <si>
    <t>Business Pay Bill via API to 522533 - Lipa na KCB Acc. 7881524</t>
  </si>
  <si>
    <t>7881524</t>
  </si>
  <si>
    <t>UI2SB4WTY4</t>
  </si>
  <si>
    <t>02-09-2026 11:43:47</t>
  </si>
  <si>
    <t>Business Buy Goods at 7009701 - VERB EDUCATION LIMITED. via API REF Bill Payment 520420 to 7009703</t>
  </si>
  <si>
    <t>7009701 - VERB EDUCATION LIMITED.</t>
  </si>
  <si>
    <t>UI2SB4WN9Q</t>
  </si>
  <si>
    <t>02-09-2026 11:43:11</t>
  </si>
  <si>
    <t>Business Buy Goods at 7045653 - KANGUNDO ROAD TOTAL PETROL STATION via API REF Bill Payment 205756 to 5047675</t>
  </si>
  <si>
    <t>7045653 - KANGUNDO ROAD TOTAL PETROL STATION</t>
  </si>
  <si>
    <t>UI2SB4WN6Z</t>
  </si>
  <si>
    <t>02-09-2026 11:36:50</t>
  </si>
  <si>
    <t>Business Buy Goods at 6041758 - CENTRE MAX ONE TRADERS       via API REF Bill Payment 254708619405 to 9981521</t>
  </si>
  <si>
    <t xml:space="preserve">6041758 - CENTRE MAX ONE TRADERS      </t>
  </si>
  <si>
    <t>UI2SB4WSYZ</t>
  </si>
  <si>
    <t>02-09-2026 11:34:38</t>
  </si>
  <si>
    <t>UI2SB4WRFJ</t>
  </si>
  <si>
    <t>02-09-2026 11:19:29</t>
  </si>
  <si>
    <t>02-09-2026 11:19:28</t>
  </si>
  <si>
    <t>Business Pay Bill via API to 4107991 - HAWKERS PRIDE ENTERPRISES LIMITED Acc. 3</t>
  </si>
  <si>
    <t>4107991 - HAWKERS PRIDE ENTERPRISES LIMITED</t>
  </si>
  <si>
    <t>3</t>
  </si>
  <si>
    <t>UI2SB4WMXS</t>
  </si>
  <si>
    <t>02-09-2026 11:02:38</t>
  </si>
  <si>
    <t>Business Buy Goods at 331547 - TOWER GOLD PACKAGING VENTURES. via API REF Bill Payment 276585 to 331711</t>
  </si>
  <si>
    <t>331547 - TOWER GOLD PACKAGING VENTURES.</t>
  </si>
  <si>
    <t>UI2SB4WPR0</t>
  </si>
  <si>
    <t>02-09-2026 11:00:51</t>
  </si>
  <si>
    <t>Business Pay Bill via API to 525900 - Africastalking Ltd Acc. ASFASMS</t>
  </si>
  <si>
    <t>525900 - Africastalking Ltd</t>
  </si>
  <si>
    <t>ASFASMS</t>
  </si>
  <si>
    <t>UI2SB4WSPF</t>
  </si>
  <si>
    <t>02-09-2026 11:00:44</t>
  </si>
  <si>
    <t>Business Buy Goods at 7752793 - IBRAHIM FARMERS CHOICE STOCKISTS  via API REF Bill Payment 276585 to 5775191</t>
  </si>
  <si>
    <t xml:space="preserve">7752793 - IBRAHIM FARMERS CHOICE STOCKISTS </t>
  </si>
  <si>
    <t>UI2SB4WPQ8</t>
  </si>
  <si>
    <t>02-09-2026 10:58:54</t>
  </si>
  <si>
    <t>Business Buy Goods at 4321579 - SUNFALL GENERAL TRADERS LTD via API REF Bill Payment 276585 to 3586381</t>
  </si>
  <si>
    <t>4321579 - SUNFALL GENERAL TRADERS LTD</t>
  </si>
  <si>
    <t>UI2SB4WMW0</t>
  </si>
  <si>
    <t>02-09-2026 10:57:54</t>
  </si>
  <si>
    <t>Business Buy Goods at 7267296 - JISTY    FOOD     via API REF Bill Payment 1326697 to 9242717</t>
  </si>
  <si>
    <t xml:space="preserve">7267296 - JISTY    FOOD    </t>
  </si>
  <si>
    <t>UI2SB4WK79</t>
  </si>
  <si>
    <t>02-09-2026 10:42:04</t>
  </si>
  <si>
    <t>02-09-2026 10:42:03</t>
  </si>
  <si>
    <t>Business Pay Bill via API to 247247 - Equity Paybill Account Acc. 0766660011</t>
  </si>
  <si>
    <t>0766660011</t>
  </si>
  <si>
    <t>UI2SB4WK05</t>
  </si>
  <si>
    <t>02-09-2026 10:18:32</t>
  </si>
  <si>
    <t>Business Buy Goods at 6569648 - SHELL MIREMA 1 via API REF Bill Payment 254711592002 to 5555550</t>
  </si>
  <si>
    <t>6569648 - SHELL MIREMA 1</t>
  </si>
  <si>
    <t>UI2SB4WMJ0</t>
  </si>
  <si>
    <t>02-09-2026 10:15:20</t>
  </si>
  <si>
    <t>Business Pay Bill via API to 714888 - LOOP BIZ Acc. 380605</t>
  </si>
  <si>
    <t>380605</t>
  </si>
  <si>
    <t>UI2SB4WQSQ</t>
  </si>
  <si>
    <t>02-09-2026 10:00:14</t>
  </si>
  <si>
    <t>Business Pay Bill via API to 4131085 - Pharmaplus Pharmaceuticals_23 Acc. n</t>
  </si>
  <si>
    <t>4131085 - Pharmaplus Pharmaceuticals_23</t>
  </si>
  <si>
    <t>n</t>
  </si>
  <si>
    <t>UI2SB4WP5U</t>
  </si>
  <si>
    <t>02-09-2026 09:44:23</t>
  </si>
  <si>
    <t>Business Pay Bill via API to 247247 - Equity Paybill Account Acc. 116700</t>
  </si>
  <si>
    <t>116700</t>
  </si>
  <si>
    <t>UI2SB4WIRN</t>
  </si>
  <si>
    <t>02-09-2026 09:39:12</t>
  </si>
  <si>
    <t>02-09-2026 09:39:10</t>
  </si>
  <si>
    <t>Business Pay Bill via API to 485111 - Rubis Energy Kenya PLc Acc. 6500090405</t>
  </si>
  <si>
    <t>485111 - Rubis Energy Kenya PLc</t>
  </si>
  <si>
    <t>6500090405</t>
  </si>
  <si>
    <t>UI2SB4WHAH</t>
  </si>
  <si>
    <t>02-09-2026 09:33:22</t>
  </si>
  <si>
    <t>UI2SB4WKYX</t>
  </si>
  <si>
    <t>02-09-2026 09:23:49</t>
  </si>
  <si>
    <t>02-09-2026 09:23:48</t>
  </si>
  <si>
    <t>Business Pay Bill via API to 522522 - KCB Paybill AC Acc. 1107630282</t>
  </si>
  <si>
    <t>522522 - KCB Paybill AC</t>
  </si>
  <si>
    <t>1107630282</t>
  </si>
  <si>
    <t>UI2SB4WFJ7</t>
  </si>
  <si>
    <t>02-09-2026 08:58:31</t>
  </si>
  <si>
    <t>02-09-2026 08:58:30</t>
  </si>
  <si>
    <t>Business Buy Goods at 968511 - Shell Machakos Service Station via API REF Bill Payment 15114 to 968512</t>
  </si>
  <si>
    <t>UI2SB4WKRW</t>
  </si>
  <si>
    <t>02-09-2026 08:56:48</t>
  </si>
  <si>
    <t>Business Pay Bill via API to 600900 - DAVIS AND SHIRTLIFF LIMITED Acc. 355286</t>
  </si>
  <si>
    <t>600900 - DAVIS AND SHIRTLIFF LIMITED</t>
  </si>
  <si>
    <t>355286</t>
  </si>
  <si>
    <t>UI2SB4WJ6V</t>
  </si>
  <si>
    <t>02-09-2026 08:38:08</t>
  </si>
  <si>
    <t>UI2SB4WF8C</t>
  </si>
  <si>
    <t>02-09-2026 08:23:14</t>
  </si>
  <si>
    <t>Business Buy Goods at 634263 - TotalEnergies Lexo Utawala Junction via API REF Bill Payment 254720233020 to 634264</t>
  </si>
  <si>
    <t>634263 - TotalEnergies Lexo Utawala Junction</t>
  </si>
  <si>
    <t>UI2SB4WHX9</t>
  </si>
  <si>
    <t>02-09-2026 07:48:46</t>
  </si>
  <si>
    <t>Business Buy Goods at 177545 - DONHOLM TOTAL S.S1 via API REF Bill Payment 1586202 to 177749</t>
  </si>
  <si>
    <t>177545 - DONHOLM TOTAL S.S1</t>
  </si>
  <si>
    <t>UI2SB4WHIQ</t>
  </si>
  <si>
    <t>02-09-2026 06:33:23</t>
  </si>
  <si>
    <t>UI2SB4WBNX</t>
  </si>
  <si>
    <t>02-09-2026 06:32:24</t>
  </si>
  <si>
    <t>UI2SB4WG3Q</t>
  </si>
  <si>
    <t>02-09-2026 06:31:26</t>
  </si>
  <si>
    <t>Business Buy Goods at 836548 - Be Energy Kayole Petrol station via API REF Bill Payment 77489 to 821697</t>
  </si>
  <si>
    <t>UI2SB4W3H4</t>
  </si>
  <si>
    <t>02-09-2026 05:09:17</t>
  </si>
  <si>
    <t>02-09-2026 05:09:16</t>
  </si>
  <si>
    <t>Business Buy Goods at 7248058 -  RUBIS   KOMAROCK via API REF Bill Payment 80421 to 9246253</t>
  </si>
  <si>
    <t>UI2SB4VYS8</t>
  </si>
  <si>
    <t>02-09-2026 01:02:30</t>
  </si>
  <si>
    <t>Business Buy Goods at 3554057 - CHICKING - LAVINGTON via API REF Bill Payment 784176 to 4999930</t>
  </si>
  <si>
    <t>3554057 - CHICKING - LAVINGTON</t>
  </si>
  <si>
    <t>Business Short Code</t>
  </si>
  <si>
    <t>Account Number</t>
  </si>
  <si>
    <t>Account Name</t>
  </si>
  <si>
    <t>Product Type</t>
  </si>
  <si>
    <t>Industry</t>
  </si>
  <si>
    <t>Transaction Type</t>
  </si>
  <si>
    <t>Debit</t>
  </si>
  <si>
    <t>Credit</t>
  </si>
  <si>
    <t>Charge Amount</t>
  </si>
  <si>
    <t>Service Fee</t>
  </si>
  <si>
    <t>SMS Charge Amount</t>
  </si>
  <si>
    <t>Collection Charge Amount</t>
  </si>
  <si>
    <t>Running Balance</t>
  </si>
  <si>
    <t>Transaction Date</t>
  </si>
  <si>
    <t>Transaction Code</t>
  </si>
  <si>
    <t>Third Party Transaction Code</t>
  </si>
  <si>
    <t>Reversal Transaction Code</t>
  </si>
  <si>
    <t>Original Transaction Code</t>
  </si>
  <si>
    <t>Client Name</t>
  </si>
  <si>
    <t>From Channel</t>
  </si>
  <si>
    <t>To Channel</t>
  </si>
  <si>
    <t>Party B</t>
  </si>
  <si>
    <t>Party B Name</t>
  </si>
  <si>
    <t>Provider</t>
  </si>
  <si>
    <t>Transaction Reference</t>
  </si>
  <si>
    <t>Merchant Reference</t>
  </si>
  <si>
    <t>Reversal Status</t>
  </si>
  <si>
    <t>Platform</t>
  </si>
  <si>
    <t>Result Code</t>
  </si>
  <si>
    <t>Result Description</t>
  </si>
  <si>
    <t>Hizo Technology Limited</t>
  </si>
  <si>
    <t>Till</t>
  </si>
  <si>
    <t>Organisation</t>
  </si>
  <si>
    <t>Transaction Out</t>
  </si>
  <si>
    <t>SWEJ7U8MQ4Z1O1F</t>
  </si>
  <si>
    <t>SasaPay</t>
  </si>
  <si>
    <t>ThirdPartyBillPayment</t>
  </si>
  <si>
    <t>Safaricom</t>
  </si>
  <si>
    <t>W13841171</t>
  </si>
  <si>
    <t>3fb92da8-1d57-43ce-b7ed-b97dfe3a649c</t>
  </si>
  <si>
    <t>Not Reversed</t>
  </si>
  <si>
    <t>api</t>
  </si>
  <si>
    <t>SUCCESS</t>
  </si>
  <si>
    <t>SP00000</t>
  </si>
  <si>
    <t>Transaction completed successfully</t>
  </si>
  <si>
    <t xml:space="preserve"> KBQ  732J </t>
  </si>
  <si>
    <t>Matatu</t>
  </si>
  <si>
    <t>SWEJ7U8M9TVRVWD</t>
  </si>
  <si>
    <t>W13841941</t>
  </si>
  <si>
    <t>Fuel</t>
  </si>
  <si>
    <t>KBU 351C</t>
  </si>
  <si>
    <t>SWEJ7U8NFFSX7WE</t>
  </si>
  <si>
    <t>W13842249</t>
  </si>
  <si>
    <t>KBR 244Y</t>
  </si>
  <si>
    <t>SWEJ7U8NFHFDX44</t>
  </si>
  <si>
    <t>W13842255</t>
  </si>
  <si>
    <t>KBY 456V</t>
  </si>
  <si>
    <t>SWEJ7U8NFI1398Z</t>
  </si>
  <si>
    <t>W13842259</t>
  </si>
  <si>
    <t>purity - Twiddle Pips</t>
  </si>
  <si>
    <t>Limited Personal Wallet</t>
  </si>
  <si>
    <t>SWEJ7U8NKTMRLE3</t>
  </si>
  <si>
    <t>W13842697</t>
  </si>
  <si>
    <t>RZV9HXBQ</t>
  </si>
  <si>
    <t>ALFRED GATONGA</t>
  </si>
  <si>
    <t>SWEJ7U8NN8376XL</t>
  </si>
  <si>
    <t>W13842961</t>
  </si>
  <si>
    <t>user_app</t>
  </si>
  <si>
    <t>FELIX ODUOR</t>
  </si>
  <si>
    <t>SWEJ7U8NOXUAGUH</t>
  </si>
  <si>
    <t>W13843086</t>
  </si>
  <si>
    <t>Michael Mboya</t>
  </si>
  <si>
    <t>SWEJ7U8NO3GU1SL</t>
  </si>
  <si>
    <t>UI2SN2T1MB</t>
  </si>
  <si>
    <t>W13843135</t>
  </si>
  <si>
    <t>Adeline Munguti</t>
  </si>
  <si>
    <t>SWEJ7U8NPR9X7CR</t>
  </si>
  <si>
    <t xml:space="preserve"> DAVIS AND SHIRTLIFF LIMITED</t>
  </si>
  <si>
    <t>W13843325</t>
  </si>
  <si>
    <t>a499805a-4877-47ee-8311-9d2500b53dbd</t>
  </si>
  <si>
    <t>Umowa Sacco - KDY 537B</t>
  </si>
  <si>
    <t>SWEJ7U8NPVAOAI8</t>
  </si>
  <si>
    <t>W13843347</t>
  </si>
  <si>
    <t>fuel</t>
  </si>
  <si>
    <t>John Slater</t>
  </si>
  <si>
    <t>SWEJ7U8NSU29DL3</t>
  </si>
  <si>
    <t xml:space="preserve"> KCB Paybill AC</t>
  </si>
  <si>
    <t>W13843684</t>
  </si>
  <si>
    <t>ACWTGA9V</t>
  </si>
  <si>
    <t>Umowa Sacco - KDY 586B</t>
  </si>
  <si>
    <t>SWEJ7U8NTA6RA6Y</t>
  </si>
  <si>
    <t>W13843802</t>
  </si>
  <si>
    <t>vincent recovery</t>
  </si>
  <si>
    <t>Kennedy - Kennedy waithaka mburu</t>
  </si>
  <si>
    <t>Biashara  Wallet</t>
  </si>
  <si>
    <t>SWEJ7U8NTKW9JJ2</t>
  </si>
  <si>
    <t xml:space="preserve"> Rubis Energy Kenya PLc</t>
  </si>
  <si>
    <t>W13843860</t>
  </si>
  <si>
    <t>VLC- OFFICE PETTY CASH</t>
  </si>
  <si>
    <t>SWEJ7U8NTTD3W0C</t>
  </si>
  <si>
    <t xml:space="preserve"> Equity Paybill Account</t>
  </si>
  <si>
    <t>W13843926</t>
  </si>
  <si>
    <t>Victor Omondi</t>
  </si>
  <si>
    <t>SWEJ7U8NWDUY7OU</t>
  </si>
  <si>
    <t xml:space="preserve"> Pharmaplus Pharmaceuticals_23</t>
  </si>
  <si>
    <t>W13844095</t>
  </si>
  <si>
    <t>BUYSIMU TECHNOLOGIES LIMITED</t>
  </si>
  <si>
    <t>SWEJ7U8NW2RW18S</t>
  </si>
  <si>
    <t xml:space="preserve"> LOOP BIZ</t>
  </si>
  <si>
    <t>W13844344</t>
  </si>
  <si>
    <t>Leonard Gitachu</t>
  </si>
  <si>
    <t>SWEJ7U8NW7XCO14</t>
  </si>
  <si>
    <t>W13844375</t>
  </si>
  <si>
    <t>Absolute Shop</t>
  </si>
  <si>
    <t>AgencyShop</t>
  </si>
  <si>
    <t>Wholesale and Retail trade</t>
  </si>
  <si>
    <t>SWEJ7U8NX2VAZD4</t>
  </si>
  <si>
    <t>RVHGT0KB61V</t>
  </si>
  <si>
    <t>W13844597</t>
  </si>
  <si>
    <t>Reversed</t>
  </si>
  <si>
    <t>FAILED</t>
  </si>
  <si>
    <t>SP01002</t>
  </si>
  <si>
    <t>1:The balance is insufficient for the transaction.</t>
  </si>
  <si>
    <t>Monica jematia chemuna</t>
  </si>
  <si>
    <t>SWEJ7U8NYA5FJ4W</t>
  </si>
  <si>
    <t>W13844676</t>
  </si>
  <si>
    <t>N5H4LRSL</t>
  </si>
  <si>
    <t>GRACE MBERA</t>
  </si>
  <si>
    <t>SWEJ7U8NYY8KFWM</t>
  </si>
  <si>
    <t>UI2SN2T4NH</t>
  </si>
  <si>
    <t xml:space="preserve"> CIC Money Market Fund</t>
  </si>
  <si>
    <t>W13844792</t>
  </si>
  <si>
    <t>Kenneth Njoroge Nganga</t>
  </si>
  <si>
    <t>SWEJ7U8NY0SR33K</t>
  </si>
  <si>
    <t>W13844799</t>
  </si>
  <si>
    <t>I0VE48YU</t>
  </si>
  <si>
    <t>HEAVENLY WINGS FOODS LIMITED</t>
  </si>
  <si>
    <t>SWEJ7U8NY2FVS9C</t>
  </si>
  <si>
    <t>W13844809</t>
  </si>
  <si>
    <t>Dry Goods purchase</t>
  </si>
  <si>
    <t>SWEJ7U8N0ZQK5EZ</t>
  </si>
  <si>
    <t>W13844860</t>
  </si>
  <si>
    <t>Purchase of sausages, bacon</t>
  </si>
  <si>
    <t>SWEJ7U8N0ZU2KWQ</t>
  </si>
  <si>
    <t xml:space="preserve"> Africastalking Ltd</t>
  </si>
  <si>
    <t>W13844863</t>
  </si>
  <si>
    <t>SWEJ7U8N02X9DQO</t>
  </si>
  <si>
    <t>W13844880</t>
  </si>
  <si>
    <t>Purchase of packaging bags</t>
  </si>
  <si>
    <t xml:space="preserve">Dunwell - TUMAINI SHOP </t>
  </si>
  <si>
    <t>SWEJ7U8N1UWPKWF</t>
  </si>
  <si>
    <t xml:space="preserve"> HAWKERS PRIDE ENTERPRISES LIMITED</t>
  </si>
  <si>
    <t>W13845063</t>
  </si>
  <si>
    <t>Stephen - Viewtech Afya</t>
  </si>
  <si>
    <t>Till-CustomerOption</t>
  </si>
  <si>
    <t>SWEJ7U8N2JVF3NG</t>
  </si>
  <si>
    <t xml:space="preserve"> GURU NANAK RAMGARHIA SIKH HOSPITAL</t>
  </si>
  <si>
    <t>W13845310</t>
  </si>
  <si>
    <t>MF166661</t>
  </si>
  <si>
    <t xml:space="preserve">Dennis  Mwangi </t>
  </si>
  <si>
    <t>Wallet-Personal</t>
  </si>
  <si>
    <t>SWEJ7U8N2NDOM1Y</t>
  </si>
  <si>
    <t>W13845341</t>
  </si>
  <si>
    <t>Erick - erick</t>
  </si>
  <si>
    <t>SWEJ7U8N2YBIDU7</t>
  </si>
  <si>
    <t>W13845433</t>
  </si>
  <si>
    <t>Cynthia  Tiany</t>
  </si>
  <si>
    <t>SWEJ7U8N2YWPBE6</t>
  </si>
  <si>
    <t>W13845440</t>
  </si>
  <si>
    <t>JL1H1FGF</t>
  </si>
  <si>
    <t>Petty Cash</t>
  </si>
  <si>
    <t>Financial and Insurance activities</t>
  </si>
  <si>
    <t>SWEJ7U8N2ZYXT3W</t>
  </si>
  <si>
    <t xml:space="preserve"> Lipa na KCB</t>
  </si>
  <si>
    <t>W13845447</t>
  </si>
  <si>
    <t>Beldina - Beldina</t>
  </si>
  <si>
    <t>SWEJ7U8N27CT8EP</t>
  </si>
  <si>
    <t>W13845498</t>
  </si>
  <si>
    <t>NRNYDA0Q</t>
  </si>
  <si>
    <t>Bethwel Ogot</t>
  </si>
  <si>
    <t>SWEJ7U8N5V19CC9</t>
  </si>
  <si>
    <t xml:space="preserve"> Co</t>
  </si>
  <si>
    <t>W13845825</t>
  </si>
  <si>
    <t>SWEJ7U8N51OWDOF</t>
  </si>
  <si>
    <t xml:space="preserve"> Stima SACCO Society ltd</t>
  </si>
  <si>
    <t>W13845914</t>
  </si>
  <si>
    <t>SIMON - SIMON KATUMO MUTINDA</t>
  </si>
  <si>
    <t>SWEJ7U8N6EVPUST</t>
  </si>
  <si>
    <t>W13846034</t>
  </si>
  <si>
    <t>Bag Ware Limited</t>
  </si>
  <si>
    <t>PayBill-CustomerOption</t>
  </si>
  <si>
    <t>SWEJ7U8N6LMWRA1</t>
  </si>
  <si>
    <t xml:space="preserve"> Guaranty Trust Bank Ltd</t>
  </si>
  <si>
    <t>W13846110</t>
  </si>
  <si>
    <t>Alex ian Madara</t>
  </si>
  <si>
    <t>SWEJ7U8N6R2KDGU</t>
  </si>
  <si>
    <t>W13846166</t>
  </si>
  <si>
    <t>C7K5CXRC</t>
  </si>
  <si>
    <t>Wimssy</t>
  </si>
  <si>
    <t>SWEJ7U8N6TSA69H</t>
  </si>
  <si>
    <t xml:space="preserve"> GDC SACCO SOCIETY LTD</t>
  </si>
  <si>
    <t>W13846185</t>
  </si>
  <si>
    <t>HtAZvGWUlerLT6OI40kr</t>
  </si>
  <si>
    <t>SWEJ7U8N6TSEIWI</t>
  </si>
  <si>
    <t>W13846184</t>
  </si>
  <si>
    <t>Sv2NxYr0cf9zwrcrcIxh</t>
  </si>
  <si>
    <t>SWEJ7U8N6TSR19K</t>
  </si>
  <si>
    <t>W13846187</t>
  </si>
  <si>
    <t>VWDgWMUYuIvypd6DXdl1</t>
  </si>
  <si>
    <t>SWEJ7U8N6TSVOOP</t>
  </si>
  <si>
    <t>W13846189</t>
  </si>
  <si>
    <t>OQaJazMHW4yAGHd61wIa</t>
  </si>
  <si>
    <t>SWEJ7U8N6TTD9GG</t>
  </si>
  <si>
    <t>W13846190</t>
  </si>
  <si>
    <t>gFf7DYaKyKI8oYukw1Hd</t>
  </si>
  <si>
    <t>SWEJ7U8N6TTWH4M</t>
  </si>
  <si>
    <t>W13846188</t>
  </si>
  <si>
    <t>ejaa1UcYSqsPKEBROinM</t>
  </si>
  <si>
    <t>SWEJ7U8N6TTZMHA</t>
  </si>
  <si>
    <t>W13846192</t>
  </si>
  <si>
    <t>GgRwl2pVCk6GNtmoEZyX</t>
  </si>
  <si>
    <t>SWEJ7U8N6TT24GB</t>
  </si>
  <si>
    <t>W13846191</t>
  </si>
  <si>
    <t>Bov4xnQYTVKJpZ9cI0lG</t>
  </si>
  <si>
    <t>SWEJ7U8N6TT55R3</t>
  </si>
  <si>
    <t xml:space="preserve"> TAI SACCO SOCIETY LIMITED</t>
  </si>
  <si>
    <t>W13846193</t>
  </si>
  <si>
    <t>E6BrJP3lKWBF1dLtC8Lf</t>
  </si>
  <si>
    <t>SWEJ7U8N6TT9QK3</t>
  </si>
  <si>
    <t>W13846195</t>
  </si>
  <si>
    <t>H0b5UCAKY0DjhQoLS5KT</t>
  </si>
  <si>
    <t>SWEJ7U8N6TUCYEA</t>
  </si>
  <si>
    <t>W13846194</t>
  </si>
  <si>
    <t>aYPl6RiHfXN2vruqgLUT</t>
  </si>
  <si>
    <t>SWEJ7U8N6TUF9BL</t>
  </si>
  <si>
    <t>W13846197</t>
  </si>
  <si>
    <t>ynZSqMJlSM3O6dQQ9xxi</t>
  </si>
  <si>
    <t>SWEJ7U8N6TUK4W6</t>
  </si>
  <si>
    <t>W13846196</t>
  </si>
  <si>
    <t>ST0FAxhf7QzUIJPjvRkd</t>
  </si>
  <si>
    <t>SWEJ7U8N6TUOLEQ</t>
  </si>
  <si>
    <t>W13846200</t>
  </si>
  <si>
    <t>bxcvV3YF1JrYDUrzaghP</t>
  </si>
  <si>
    <t>SWEJ7U8N6TU5X4X</t>
  </si>
  <si>
    <t>W13846198</t>
  </si>
  <si>
    <t>PRcP88t6cLRq4Qe69TF9</t>
  </si>
  <si>
    <t>SWEJ7U8N6TVJSN3</t>
  </si>
  <si>
    <t>W13846209</t>
  </si>
  <si>
    <t>fgo8QFiIlJtafTaBocx6</t>
  </si>
  <si>
    <t>SWEJ7U8N6TVNO6P</t>
  </si>
  <si>
    <t>W13846211</t>
  </si>
  <si>
    <t>iJfvkuKnuCgnb4qQhTtl</t>
  </si>
  <si>
    <t>SWEJ7U8N6TVU4VS</t>
  </si>
  <si>
    <t>W13846213</t>
  </si>
  <si>
    <t>UfxK8yA9KNdAR1wSvdlg</t>
  </si>
  <si>
    <t>SWEJ7U8N6TV1PBE</t>
  </si>
  <si>
    <t>W13846205</t>
  </si>
  <si>
    <t>LcLgcTF4re9fHEIjneE0</t>
  </si>
  <si>
    <t>SWEJ7U8N6TV9WO6</t>
  </si>
  <si>
    <t>W13846208</t>
  </si>
  <si>
    <t>JPBjAHrB8zUwAAQnZCZa</t>
  </si>
  <si>
    <t>SWEJ7U8N6TWVFDV</t>
  </si>
  <si>
    <t>W13846212</t>
  </si>
  <si>
    <t>Ay8wdAWUfcAIvILjmR7r</t>
  </si>
  <si>
    <t>MORINE  ONGERI</t>
  </si>
  <si>
    <t>SWEJ7U8N61QWISS</t>
  </si>
  <si>
    <t>W13846311</t>
  </si>
  <si>
    <t>GAWOCJ4B</t>
  </si>
  <si>
    <t>VLC-PROPERTY PETTY CASH</t>
  </si>
  <si>
    <t>SWEJ7U8N625YWZZ</t>
  </si>
  <si>
    <t>W13846323</t>
  </si>
  <si>
    <t>Purchase of construction materials - Richland Pointe</t>
  </si>
  <si>
    <t>Alex - Alex enterprise</t>
  </si>
  <si>
    <t>SWEJ7U8N77MJ9AF</t>
  </si>
  <si>
    <t>W13846707</t>
  </si>
  <si>
    <t>AWR9BCPJ</t>
  </si>
  <si>
    <t>Genem international Holdings Limited</t>
  </si>
  <si>
    <t>SWEJ7U8N78O2BJW</t>
  </si>
  <si>
    <t>W13846714</t>
  </si>
  <si>
    <t>nyeri van fuel</t>
  </si>
  <si>
    <t>SWEJ7U8N97PS7WK</t>
  </si>
  <si>
    <t>W13846766</t>
  </si>
  <si>
    <t>Sheldon Onzere</t>
  </si>
  <si>
    <t>SWEJ7U8OAS8PSI1</t>
  </si>
  <si>
    <t>W13847021</t>
  </si>
  <si>
    <t>ZYV2VOLH</t>
  </si>
  <si>
    <t>SWEJ7U8OBDLNR96</t>
  </si>
  <si>
    <t>W13847227</t>
  </si>
  <si>
    <t>GENERAL SUPPLIES-W/SHOP SHOPPING</t>
  </si>
  <si>
    <t>John Wasonga</t>
  </si>
  <si>
    <t>SWEJ7U8OBNLYLPT</t>
  </si>
  <si>
    <t xml:space="preserve"> LOOP C2B</t>
  </si>
  <si>
    <t>W13847347</t>
  </si>
  <si>
    <t xml:space="preserve">Faith - Tasty treats </t>
  </si>
  <si>
    <t>SWEJ7U8OBVITCVQ</t>
  </si>
  <si>
    <t>W13847411</t>
  </si>
  <si>
    <t>SWEJ7U8OBYIG965</t>
  </si>
  <si>
    <t>W13847439</t>
  </si>
  <si>
    <t>XWIFT</t>
  </si>
  <si>
    <t>SWEJ7U8OE23VSQ4</t>
  </si>
  <si>
    <t>W13847738</t>
  </si>
  <si>
    <t>f538e064-b42b-4f5b-bf17-5230e9543bcb</t>
  </si>
  <si>
    <t>German Experts- Petty cash</t>
  </si>
  <si>
    <t>SWEJ7U8OE4IFA0V</t>
  </si>
  <si>
    <t>W13847742</t>
  </si>
  <si>
    <t>merchant_portal</t>
  </si>
  <si>
    <t>SWEJ7U8OE9T6GNB</t>
  </si>
  <si>
    <t>W13847792</t>
  </si>
  <si>
    <t>MF750834</t>
  </si>
  <si>
    <t>KBQ  188C</t>
  </si>
  <si>
    <t>SWEJ7U8OFH7I1GQ</t>
  </si>
  <si>
    <t>W13847836</t>
  </si>
  <si>
    <t>Moses Otieno</t>
  </si>
  <si>
    <t>SWEJ7U8OFOYLWNK</t>
  </si>
  <si>
    <t>W13847903</t>
  </si>
  <si>
    <t>edwin kiptoo</t>
  </si>
  <si>
    <t>SWEJ7U8OF0KGXRT</t>
  </si>
  <si>
    <t>UI2SN2TE19</t>
  </si>
  <si>
    <t xml:space="preserve"> ONFON MEDIA 1.</t>
  </si>
  <si>
    <t>W13847967</t>
  </si>
  <si>
    <t>SWEJ7U8OF27J3PQ</t>
  </si>
  <si>
    <t xml:space="preserve"> Absa Bank Kenya PLC</t>
  </si>
  <si>
    <t>W13847982</t>
  </si>
  <si>
    <t>EVERLYN TIANY</t>
  </si>
  <si>
    <t>SWEJ7U8OF7D21VV</t>
  </si>
  <si>
    <t xml:space="preserve"> Family Bank Pesa Pap</t>
  </si>
  <si>
    <t>W13848025</t>
  </si>
  <si>
    <t>WGGXZA1P</t>
  </si>
  <si>
    <t>SWEJ7U8OGM0UAAH</t>
  </si>
  <si>
    <t>W13848119</t>
  </si>
  <si>
    <t>F6FWVFSR</t>
  </si>
  <si>
    <t>Abed Muroki</t>
  </si>
  <si>
    <t>SWEJ7U8OG35ULJE</t>
  </si>
  <si>
    <t>RVHGT0KB64M</t>
  </si>
  <si>
    <t>W13848217</t>
  </si>
  <si>
    <t>Receiver party is invalid</t>
  </si>
  <si>
    <t>Nicholas Omondi</t>
  </si>
  <si>
    <t>SWEJ7U8OHBZXOI4</t>
  </si>
  <si>
    <t xml:space="preserve"> FORTUNE SACCO C2B</t>
  </si>
  <si>
    <t>W13848260</t>
  </si>
  <si>
    <t>SWEJ7U8OJTTVY99</t>
  </si>
  <si>
    <t>W13848498</t>
  </si>
  <si>
    <t xml:space="preserve">Savings </t>
  </si>
  <si>
    <t>Personal Sub Wallet</t>
  </si>
  <si>
    <t>SWEJ7U8OJX9UHO4</t>
  </si>
  <si>
    <t xml:space="preserve"> CASH N CARRY ESSENTIALS LIMITED</t>
  </si>
  <si>
    <t>W13848523</t>
  </si>
  <si>
    <t>SWEJ7U8OKIKW4NF</t>
  </si>
  <si>
    <t>W13848706</t>
  </si>
  <si>
    <t>KKWCGKN0</t>
  </si>
  <si>
    <t>Forward Airtime Limited</t>
  </si>
  <si>
    <t>SWEJ7U8OKOR1SKU</t>
  </si>
  <si>
    <t>W13848751</t>
  </si>
  <si>
    <t>lines</t>
  </si>
  <si>
    <t>SWEJ7U8OKO2NRQ8</t>
  </si>
  <si>
    <t>W13848757</t>
  </si>
  <si>
    <t>lines purchase</t>
  </si>
  <si>
    <t>Caleb Wekesa</t>
  </si>
  <si>
    <t>SWEJ7U8OKO5NYAV</t>
  </si>
  <si>
    <t>W13848758</t>
  </si>
  <si>
    <t>Joan Nyamongo</t>
  </si>
  <si>
    <t>SWEJ7U8OKZEDZ1B</t>
  </si>
  <si>
    <t xml:space="preserve"> Stanbic Bank</t>
  </si>
  <si>
    <t>W13848841</t>
  </si>
  <si>
    <t>Esther Nganga</t>
  </si>
  <si>
    <t>SWEJ7U8OK5OJN1I</t>
  </si>
  <si>
    <t>W13848918</t>
  </si>
  <si>
    <t>SWEJ7U8OK8UXQJC</t>
  </si>
  <si>
    <t>W13848958</t>
  </si>
  <si>
    <t>SWEJ7U8ON0I5XMR</t>
  </si>
  <si>
    <t xml:space="preserve"> VAGHELA SCHOOL CENTRE LTD</t>
  </si>
  <si>
    <t>W13849368</t>
  </si>
  <si>
    <t>X0U0P3C5</t>
  </si>
  <si>
    <t>Josphine Oyabi Moraa</t>
  </si>
  <si>
    <t>SWEJ7U8OOBL2HGY</t>
  </si>
  <si>
    <t>W13849485</t>
  </si>
  <si>
    <t>A5MV01LK</t>
  </si>
  <si>
    <t>SWEJ7U8OOSNAHPD</t>
  </si>
  <si>
    <t xml:space="preserve"> NCBA BANK KENYA PLC.</t>
  </si>
  <si>
    <t>W13849787</t>
  </si>
  <si>
    <t>SWEJ7U8OOT2MO74</t>
  </si>
  <si>
    <t>W13849800</t>
  </si>
  <si>
    <t>a9317806-3092-4db5-a805-5e66438e7253</t>
  </si>
  <si>
    <t>Rwama FCS</t>
  </si>
  <si>
    <t>SWEJ7U8OO3FKO4R</t>
  </si>
  <si>
    <t>W13849914</t>
  </si>
  <si>
    <t>JEhzu5OwDT7MBmim7Rke</t>
  </si>
  <si>
    <t>SWEJ7U8OO3G8895</t>
  </si>
  <si>
    <t xml:space="preserve"> Bingwa Sacco Society Ltd C2B</t>
  </si>
  <si>
    <t>W13849922</t>
  </si>
  <si>
    <t>Yuiu1LugkaTYeU5lQvmA</t>
  </si>
  <si>
    <t>SWEJ7U8OO3HB84W</t>
  </si>
  <si>
    <t>W13849921</t>
  </si>
  <si>
    <t>1sV8KZtH3LdziY3uKG2m</t>
  </si>
  <si>
    <t>SWEJ7U8OO3H7P8T</t>
  </si>
  <si>
    <t>W13849937</t>
  </si>
  <si>
    <t>fu4b0SSNGXYgoR08ufg2</t>
  </si>
  <si>
    <t>SWEJ7U8OO3J3GLE</t>
  </si>
  <si>
    <t>W13849942</t>
  </si>
  <si>
    <t>9iiakyQAHJKcMM5U7SGh</t>
  </si>
  <si>
    <t>SWEJ7U8OO3KDF5O</t>
  </si>
  <si>
    <t xml:space="preserve"> SPOTCASH</t>
  </si>
  <si>
    <t>W13849940</t>
  </si>
  <si>
    <t>kSbuLtPI68GclSrIzeho</t>
  </si>
  <si>
    <t>SWEJ7U8OO3KUNWJ</t>
  </si>
  <si>
    <t>W13849952</t>
  </si>
  <si>
    <t>1Uwf4dILeiqF9ItvHmT9</t>
  </si>
  <si>
    <t>SWEJ7U8OO3KZODI</t>
  </si>
  <si>
    <t>W13849941</t>
  </si>
  <si>
    <t>BtZC1QJIgtnpOY0Dq1z5</t>
  </si>
  <si>
    <t>SWEJ7U8OO3LBEMA</t>
  </si>
  <si>
    <t>W13849943</t>
  </si>
  <si>
    <t>4IuKrlbhliRWwQP9NDEz</t>
  </si>
  <si>
    <t>SWEJ7U8OO3LFKGI</t>
  </si>
  <si>
    <t>W13849944</t>
  </si>
  <si>
    <t>ISFwmqWJvPoWgzN8OLJm</t>
  </si>
  <si>
    <t>SWEJ7U8OO3LR18Q</t>
  </si>
  <si>
    <t>W13849945</t>
  </si>
  <si>
    <t>VKkSYHPu2IFgaiiw94NJ</t>
  </si>
  <si>
    <t>SWEJ7U8OO3NBA39</t>
  </si>
  <si>
    <t>W13849970</t>
  </si>
  <si>
    <t>m3HCXAySP77nikH6yJbi</t>
  </si>
  <si>
    <t>SWEJ7U8OO3PBBYF</t>
  </si>
  <si>
    <t>W13849963</t>
  </si>
  <si>
    <t>B2HXpa8UZwi0yenjAVzV</t>
  </si>
  <si>
    <t>SWEJ7U8OO3PQ2D0</t>
  </si>
  <si>
    <t>W13849968</t>
  </si>
  <si>
    <t>FQfgfJYNXb0J3XuaeExU</t>
  </si>
  <si>
    <t>SWEJ7U8OO3P4W7J</t>
  </si>
  <si>
    <t>W13849964</t>
  </si>
  <si>
    <t>kmOZQsfF2lUFmmHxDdSy</t>
  </si>
  <si>
    <t>SWEJ7U8OO3P8OKQ</t>
  </si>
  <si>
    <t>W13849967</t>
  </si>
  <si>
    <t>58m4pvizWqmXUjHeKgzA</t>
  </si>
  <si>
    <t>SWEJ7U8OO3Q9CH7</t>
  </si>
  <si>
    <t>W13849990</t>
  </si>
  <si>
    <t>ueFOFrdjkHoKpapyiOFR</t>
  </si>
  <si>
    <t>SWEJ7U8OO3RYRW1</t>
  </si>
  <si>
    <t>W13849986</t>
  </si>
  <si>
    <t>jAKOELXW3qCdNkeC2bh0</t>
  </si>
  <si>
    <t>SWEJ7U8OO3SYIVB</t>
  </si>
  <si>
    <t>W13849980</t>
  </si>
  <si>
    <t>lOOmwVYtj4QIvCmyZTZh</t>
  </si>
  <si>
    <t>SWEJ7U8OO3WJD1L</t>
  </si>
  <si>
    <t>W13850025</t>
  </si>
  <si>
    <t>MIuga7lITsc9jMGQloUp</t>
  </si>
  <si>
    <t>SWEJ7U8OO3W8X8U</t>
  </si>
  <si>
    <t>W13850031</t>
  </si>
  <si>
    <t>TGEPqzkddFMWcNZrLBOm</t>
  </si>
  <si>
    <t>SWEJ7U8OO3YPBXS</t>
  </si>
  <si>
    <t>W13850050</t>
  </si>
  <si>
    <t>KdyXjMv0wNA7FgJbbmTe</t>
  </si>
  <si>
    <t>SWEJ7U8OO3ZJ38G</t>
  </si>
  <si>
    <t>W13850073</t>
  </si>
  <si>
    <t>kpfkr16V87Pr1HEiOknk</t>
  </si>
  <si>
    <t>SWEJ7U8OO31SK4V</t>
  </si>
  <si>
    <t>W13850059</t>
  </si>
  <si>
    <t>rOtuBqwUXzBPRatwiqCm</t>
  </si>
  <si>
    <t>SWEJ7U8OO31Y4KO</t>
  </si>
  <si>
    <t>W13850066</t>
  </si>
  <si>
    <t>c66PuasJfHprn0jRJkxB</t>
  </si>
  <si>
    <t>SWEJ7U8OO317A6P</t>
  </si>
  <si>
    <t>W13850060</t>
  </si>
  <si>
    <t>44lZPOy4yme0IolbRnx4</t>
  </si>
  <si>
    <t>SWEJ7U8OO32GOJP</t>
  </si>
  <si>
    <t>W13850087</t>
  </si>
  <si>
    <t>W4jeEH86C4F5U6C5Zoxc</t>
  </si>
  <si>
    <t>SWEJ7U8OO326JFG</t>
  </si>
  <si>
    <t>W13850092</t>
  </si>
  <si>
    <t>uxQasssWKxM0RPZu4q3L</t>
  </si>
  <si>
    <t>SWEJ7U8OO33DD6Q</t>
  </si>
  <si>
    <t>W13850095</t>
  </si>
  <si>
    <t>q8QwkjBoLr8Xw494mTpf</t>
  </si>
  <si>
    <t>SWEJ7U8OO33GTR7</t>
  </si>
  <si>
    <t>W13850061</t>
  </si>
  <si>
    <t>toM1TTlhnpFIQncoz6xK</t>
  </si>
  <si>
    <t>SWEJ7U8OO34CVOA</t>
  </si>
  <si>
    <t>W13850078</t>
  </si>
  <si>
    <t>owTN6h4uAxAwgtLADdlU</t>
  </si>
  <si>
    <t>SWEJ7U8OO3532A6</t>
  </si>
  <si>
    <t>W13850082</t>
  </si>
  <si>
    <t>QIxvdS5MbWIKNgsD1YzV</t>
  </si>
  <si>
    <t>SWEJ7U8OO4W9M19</t>
  </si>
  <si>
    <t>W13850097</t>
  </si>
  <si>
    <t>Pn4mzBx7dEgzMSRZjNjd</t>
  </si>
  <si>
    <t>Ian - Holmes</t>
  </si>
  <si>
    <t>SWEJ7U8OO6PZ0JG</t>
  </si>
  <si>
    <t>W13850128</t>
  </si>
  <si>
    <t>VE858A8K</t>
  </si>
  <si>
    <t>Ahainnovate Ltd</t>
  </si>
  <si>
    <t>SWEJ7U8OPAT96BE</t>
  </si>
  <si>
    <t>W13850210</t>
  </si>
  <si>
    <t>SWEJ7U8OPIBBXFI</t>
  </si>
  <si>
    <t xml:space="preserve"> IM BANK C2B</t>
  </si>
  <si>
    <t>W13850333</t>
  </si>
  <si>
    <t>SWEJ7U8OPIPXV0F</t>
  </si>
  <si>
    <t xml:space="preserve"> Prime Bank Ltd</t>
  </si>
  <si>
    <t>W13850344</t>
  </si>
  <si>
    <t>SWEJ7U8OPM5DZSQ</t>
  </si>
  <si>
    <t>W13850387</t>
  </si>
  <si>
    <t>oV44L4BjndyKHfYpRzsJ</t>
  </si>
  <si>
    <t>SWEJ7U8OPM5HMLH</t>
  </si>
  <si>
    <t>W13850386</t>
  </si>
  <si>
    <t>Qgbon96nWFS22AqY53zu</t>
  </si>
  <si>
    <t>SWEJ7U8OPM54PQ8</t>
  </si>
  <si>
    <t>W13850392</t>
  </si>
  <si>
    <t>Hio53i8CVRp7TkWQjD6V</t>
  </si>
  <si>
    <t>SWEJ7U8OPM6BTR1</t>
  </si>
  <si>
    <t>W13850393</t>
  </si>
  <si>
    <t>ToL8UdoSsfi4eo5XQ50M</t>
  </si>
  <si>
    <t>SWEJ7U8OPM6MQLN</t>
  </si>
  <si>
    <t>W13850394</t>
  </si>
  <si>
    <t>iSOaQpQi9YonRB9ObgTW</t>
  </si>
  <si>
    <t>SWEJ7U8OPM7RV0C</t>
  </si>
  <si>
    <t>W13850400</t>
  </si>
  <si>
    <t>f8QpEQUg0EU7XDYnslfa</t>
  </si>
  <si>
    <t>SWEJ7U8OPM7X8TJ</t>
  </si>
  <si>
    <t>W13850398</t>
  </si>
  <si>
    <t>GDGs9SVDk0wOPBMMmRbn</t>
  </si>
  <si>
    <t>SWEJ7U8OPM74RM8</t>
  </si>
  <si>
    <t>RVHGT0KB6XQ</t>
  </si>
  <si>
    <t>Norah Kagendo Kithinji</t>
  </si>
  <si>
    <t>W13850411</t>
  </si>
  <si>
    <t>EuM85ZsmhORRPP7qVeO5</t>
  </si>
  <si>
    <t>System internal error.</t>
  </si>
  <si>
    <t>SWEJ7U8OPM77E86</t>
  </si>
  <si>
    <t>W13850403</t>
  </si>
  <si>
    <t>8shsLIUrfttlwmz8XLIl</t>
  </si>
  <si>
    <t>SWEJ7U8OPM8AB3L</t>
  </si>
  <si>
    <t>W13850404</t>
  </si>
  <si>
    <t>3JDeO8U0zH3tK15vJfPj</t>
  </si>
  <si>
    <t>SWEJ7U8OPM8HO6X</t>
  </si>
  <si>
    <t>W13850410</t>
  </si>
  <si>
    <t>KvGAffz3T98F12RpRGhn</t>
  </si>
  <si>
    <t>SWEJ7U8OPM8QQ8Z</t>
  </si>
  <si>
    <t>W13850408</t>
  </si>
  <si>
    <t>h6b3koKDEjUUNfJczDih</t>
  </si>
  <si>
    <t>SWEJ7U8OPM8ZWFX</t>
  </si>
  <si>
    <t>W13850405</t>
  </si>
  <si>
    <t>pxk2SdjbSZMgPC0LLYRx</t>
  </si>
  <si>
    <t>SWEJ7U8OPM9LH51</t>
  </si>
  <si>
    <t>W13850413</t>
  </si>
  <si>
    <t>kowCJFp7AX7Z4rGxNirg</t>
  </si>
  <si>
    <t>SWEJ7U8OPNAHJT6</t>
  </si>
  <si>
    <t>W13850416</t>
  </si>
  <si>
    <t>NuDmhvi5eS0jwSeldVxd</t>
  </si>
  <si>
    <t>SWEJ7U8OPNASCZI</t>
  </si>
  <si>
    <t>W13850428</t>
  </si>
  <si>
    <t>1y34MPnt7AFfSqAA9kch</t>
  </si>
  <si>
    <t>SWEJ7U8OPNAV1ZR</t>
  </si>
  <si>
    <t>W13850426</t>
  </si>
  <si>
    <t>A6SwUpwTaQR2AcTFtHTn</t>
  </si>
  <si>
    <t>SWEJ7U8OPNA0HAP</t>
  </si>
  <si>
    <t>W13850420</t>
  </si>
  <si>
    <t>YymUH1KUGtex1vuTCxJw</t>
  </si>
  <si>
    <t>SWEJ7U8OPNBBHM4</t>
  </si>
  <si>
    <t>W13850423</t>
  </si>
  <si>
    <t>Z2YT6CwIK4V17iN2dIAu</t>
  </si>
  <si>
    <t>SWEJ7U8OPNBF0JF</t>
  </si>
  <si>
    <t>W13850430</t>
  </si>
  <si>
    <t>WUBZZeFDktXJMku1ONNS</t>
  </si>
  <si>
    <t>SWEJ7U8OPNBKVLN</t>
  </si>
  <si>
    <t>W13850422</t>
  </si>
  <si>
    <t>uviHKIPfgmIlGZClJsTT</t>
  </si>
  <si>
    <t>SWEJ7U8OPNBOVMH</t>
  </si>
  <si>
    <t>W13850419</t>
  </si>
  <si>
    <t>9cVhar1hgM4kRoYkRlog</t>
  </si>
  <si>
    <t>SWEJ7U8OPNB3WIB</t>
  </si>
  <si>
    <t>W13850434</t>
  </si>
  <si>
    <t>qB7TvObmkyNHCrYqVEEQ</t>
  </si>
  <si>
    <t>SWEJ7U8OPNCASFR</t>
  </si>
  <si>
    <t>RVHGT0KB64T</t>
  </si>
  <si>
    <t>W13850435</t>
  </si>
  <si>
    <t>J6fCX5AcFMpQLunJ37SZ</t>
  </si>
  <si>
    <t>SWEJ7U8OPNCN6SB</t>
  </si>
  <si>
    <t>W13850432</t>
  </si>
  <si>
    <t>pK0ytHCil35I0001MpPx</t>
  </si>
  <si>
    <t>SWEJ7U8OPNCRZ87</t>
  </si>
  <si>
    <t>W13850433</t>
  </si>
  <si>
    <t>ZjDaEa95VtyFN7X3Z3q7</t>
  </si>
  <si>
    <t>SWEJ7U8OPNC27E9</t>
  </si>
  <si>
    <t>W13850440</t>
  </si>
  <si>
    <t>FdODOKnirOm0dWGNv7BE</t>
  </si>
  <si>
    <t>SWEJ7U8OPNC59X8</t>
  </si>
  <si>
    <t>W13850438</t>
  </si>
  <si>
    <t>Jw1neagH4VP0aRsQ5SeW</t>
  </si>
  <si>
    <t>SWEJ7U8OPNC9A4L</t>
  </si>
  <si>
    <t>W13850443</t>
  </si>
  <si>
    <t>rlYeEoxFcWonqGD0rrcl</t>
  </si>
  <si>
    <t>SWEJ7U8OPNDGQ5X</t>
  </si>
  <si>
    <t>RVHGT0KB6X1</t>
  </si>
  <si>
    <t>W13850448</t>
  </si>
  <si>
    <t>1bkZjGpeDM3XH6HFPg5O</t>
  </si>
  <si>
    <t>The Account Number you provided is not exist. Please check your input information.</t>
  </si>
  <si>
    <t>SWEJ7U8OPNDYMNI</t>
  </si>
  <si>
    <t>W13850460</t>
  </si>
  <si>
    <t>JpQxW6wFXVBCNYzBN493</t>
  </si>
  <si>
    <t>SWEJ7U8OPND9Z8Y</t>
  </si>
  <si>
    <t>W13850449</t>
  </si>
  <si>
    <t>PYuLfdFK3JAQ7UusPEaD</t>
  </si>
  <si>
    <t>SWEJ7U8OPNE1Q13</t>
  </si>
  <si>
    <t>W13850463</t>
  </si>
  <si>
    <t>oWJOT49ib2ZsAflCkNlY</t>
  </si>
  <si>
    <t>SWEJ7U8OPNFCWH4</t>
  </si>
  <si>
    <t>W13850447</t>
  </si>
  <si>
    <t>oc8YUyDGHTGlzBCg8ehp</t>
  </si>
  <si>
    <t>SWEJ7U8OPNFZ3I8</t>
  </si>
  <si>
    <t>W13850471</t>
  </si>
  <si>
    <t>nyszytWxBW2OiEAwE6lM</t>
  </si>
  <si>
    <t>SWEJ7U8OPNF75RQ</t>
  </si>
  <si>
    <t>W13850442</t>
  </si>
  <si>
    <t>s0AZgKKNJ6RLSwpu2Cy4</t>
  </si>
  <si>
    <t>SWEJ7U8OPNGHVKF</t>
  </si>
  <si>
    <t>W13850461</t>
  </si>
  <si>
    <t>ll2ITzrltlgGbcSHuzLb</t>
  </si>
  <si>
    <t>SWEJ7U8OPNGLFCJ</t>
  </si>
  <si>
    <t>W13850476</t>
  </si>
  <si>
    <t>7GXZcHSfUfsYoPAMOI03</t>
  </si>
  <si>
    <t>SWEJ7U8OPNGOTRJ</t>
  </si>
  <si>
    <t>W13850458</t>
  </si>
  <si>
    <t>3q9MzzPUFnyevEHKp7ee</t>
  </si>
  <si>
    <t>SWEJ7U8OPNGW49W</t>
  </si>
  <si>
    <t>W13850464</t>
  </si>
  <si>
    <t>btlBO2i0sdGTNhAXZHIN</t>
  </si>
  <si>
    <t>SWEJ7U8OPNG25HG</t>
  </si>
  <si>
    <t>W13850456</t>
  </si>
  <si>
    <t>bZQzXPaMr0MOBewa46tw</t>
  </si>
  <si>
    <t>SWEJ7U8OPNHGXXM</t>
  </si>
  <si>
    <t>W13850465</t>
  </si>
  <si>
    <t>3FpeYCWU6cixJuKNz57A</t>
  </si>
  <si>
    <t>SWEJ7U8OPNHKF3E</t>
  </si>
  <si>
    <t>W13850462</t>
  </si>
  <si>
    <t>dc2tjGw8xqFLeFfwfa7w</t>
  </si>
  <si>
    <t>SWEJ7U8OPNHR03H</t>
  </si>
  <si>
    <t>W13850467</t>
  </si>
  <si>
    <t>aCZHQCNJpg1wBXu13KKX</t>
  </si>
  <si>
    <t>SWEJ7U8OPNH3TKB</t>
  </si>
  <si>
    <t>W13850475</t>
  </si>
  <si>
    <t>kGOY7Z1tpjmSqoLfdWVi</t>
  </si>
  <si>
    <t>SWEJ7U8OPNH628L</t>
  </si>
  <si>
    <t>W13850469</t>
  </si>
  <si>
    <t>q9mSqshUNJNypYtvvm63</t>
  </si>
  <si>
    <t>SWEJ7U8OPNIBT46</t>
  </si>
  <si>
    <t>W13850470</t>
  </si>
  <si>
    <t>mqjyZvI3wMz7hgD8Mr1U</t>
  </si>
  <si>
    <t>SWEJ7U8OPNIHQCI</t>
  </si>
  <si>
    <t>W13850477</t>
  </si>
  <si>
    <t>1xdD8VVr99Dk7wli8moS</t>
  </si>
  <si>
    <t>SWEJ7U8OPNJBKQZ</t>
  </si>
  <si>
    <t>W13850482</t>
  </si>
  <si>
    <t>SJeqHzJQeeSoVA937V8H</t>
  </si>
  <si>
    <t>SWEJ7U8OPNJRBKP</t>
  </si>
  <si>
    <t>W13850479</t>
  </si>
  <si>
    <t>g8GUl22SVdyyzux5mWla</t>
  </si>
  <si>
    <t>SWEJ7U8OPNJ3FXJ</t>
  </si>
  <si>
    <t>W13850495</t>
  </si>
  <si>
    <t>dHFG4EBLPlcVsPaLkI6T</t>
  </si>
  <si>
    <t>SWEJ7U8OPNKA8BN</t>
  </si>
  <si>
    <t>W13850478</t>
  </si>
  <si>
    <t>8eDnyNSlSjYBMepBs5bN</t>
  </si>
  <si>
    <t>SWEJ7U8OPNKD7Q8</t>
  </si>
  <si>
    <t>W13850501</t>
  </si>
  <si>
    <t>mJeF2ntqN18LZlOlFJ48</t>
  </si>
  <si>
    <t>SWEJ7U8OPNKNE4Z</t>
  </si>
  <si>
    <t>W13850503</t>
  </si>
  <si>
    <t>H5tngFql5HrpSpjqtkQn</t>
  </si>
  <si>
    <t>SWEJ7U8OPNKQCKG</t>
  </si>
  <si>
    <t>W13850494</t>
  </si>
  <si>
    <t>dHN7P0cSCpdIAdeBKlfj</t>
  </si>
  <si>
    <t>SWEJ7U8OPNKTNU0</t>
  </si>
  <si>
    <t>W13850485</t>
  </si>
  <si>
    <t>2CWjGfuSc0H4QJ84OK37</t>
  </si>
  <si>
    <t>SWEJ7U8OPNKWYC2</t>
  </si>
  <si>
    <t>RVHGT0KB6YM</t>
  </si>
  <si>
    <t>W13850492</t>
  </si>
  <si>
    <t>HTOUcH9xF06ZE5dzDQ2K</t>
  </si>
  <si>
    <t>SWEJ7U8OPNKZ0I6</t>
  </si>
  <si>
    <t>W13850496</t>
  </si>
  <si>
    <t>PgXiWgv4ZkVtigXLXyIb</t>
  </si>
  <si>
    <t>SWEJ7U8OPNK3XKR</t>
  </si>
  <si>
    <t>W13850500</t>
  </si>
  <si>
    <t>jpSyGZb7tknsCLM2Sg7U</t>
  </si>
  <si>
    <t>SWEJ7U8OPNK7MJX</t>
  </si>
  <si>
    <t>W13850484</t>
  </si>
  <si>
    <t>ECsacWEHcWRGqfbAgFcy</t>
  </si>
  <si>
    <t>SWEJ7U8OPNLAR3W</t>
  </si>
  <si>
    <t>W13850506</t>
  </si>
  <si>
    <t>pnEs22CVACHDLoepnwkZ</t>
  </si>
  <si>
    <t>SWEJ7U8OPNLDQQ7</t>
  </si>
  <si>
    <t>W13850507</t>
  </si>
  <si>
    <t>dQW77zoGJvPSLGWRWMxR</t>
  </si>
  <si>
    <t>SWEJ7U8OPNLKYY3</t>
  </si>
  <si>
    <t>W13850489</t>
  </si>
  <si>
    <t>VHBZvnGTMM9Fb8UotjSz</t>
  </si>
  <si>
    <t>SWEJ7U8OPNLWFDV</t>
  </si>
  <si>
    <t>W13850510</t>
  </si>
  <si>
    <t>vOlQFM8z74E1dVaduMfE</t>
  </si>
  <si>
    <t>SWEJ7U8OPNLZJL1</t>
  </si>
  <si>
    <t>W13850512</t>
  </si>
  <si>
    <t>ztUn4dyIwirj5MJ2IkvW</t>
  </si>
  <si>
    <t>SWEJ7U8OPNMDCKY</t>
  </si>
  <si>
    <t>W13850505</t>
  </si>
  <si>
    <t>r9KrodVCWvBswIVMyV9F</t>
  </si>
  <si>
    <t>SWEJ7U8OPNMN5AV</t>
  </si>
  <si>
    <t>W13850513</t>
  </si>
  <si>
    <t>CryR7KQZuWR9PTm1QDHV</t>
  </si>
  <si>
    <t>SWEJ7U8OPNM58K9</t>
  </si>
  <si>
    <t>W13850493</t>
  </si>
  <si>
    <t>SSZZHYm69YnktFmyh2JM</t>
  </si>
  <si>
    <t>SWEJ7U8OPNNGG3O</t>
  </si>
  <si>
    <t>W13850499</t>
  </si>
  <si>
    <t>aCDp9emmi4YHFXHKr44d</t>
  </si>
  <si>
    <t>SWEJ7U8OPNNSNY8</t>
  </si>
  <si>
    <t>W13850508</t>
  </si>
  <si>
    <t>SOe8Ixsa4QmkV71hSEz4</t>
  </si>
  <si>
    <t>SWEJ7U8OPNN4Y5Q</t>
  </si>
  <si>
    <t>W13850519</t>
  </si>
  <si>
    <t>ly8qWaDf2D2XJnNkAcFd</t>
  </si>
  <si>
    <t>SWEJ7U8OPNOPAOG</t>
  </si>
  <si>
    <t>W13850524</t>
  </si>
  <si>
    <t>t1UOKoKTwnhJzu8q2Rga</t>
  </si>
  <si>
    <t>SWEJ7U8OPNO0OGX</t>
  </si>
  <si>
    <t>W13850517</t>
  </si>
  <si>
    <t>JzUxNOHXilLaGBdyC02u</t>
  </si>
  <si>
    <t>SWEJ7U8OPNPLRLG</t>
  </si>
  <si>
    <t>W13850525</t>
  </si>
  <si>
    <t>rOQPTgFXrKPSPy8Ecpyx</t>
  </si>
  <si>
    <t>SWEJ7U8OPNP07SO</t>
  </si>
  <si>
    <t>W13850530</t>
  </si>
  <si>
    <t>k1K3i9l2y9PCFs6Felrq</t>
  </si>
  <si>
    <t>SWEJ7U8OPNQJEC4</t>
  </si>
  <si>
    <t>W13850516</t>
  </si>
  <si>
    <t>Zj8vhHOYzhlRfD7S4RhW</t>
  </si>
  <si>
    <t>SWEJ7U8OPNRDCOV</t>
  </si>
  <si>
    <t>W13850522</t>
  </si>
  <si>
    <t>t6BRmghgc4rWg23MQFGs</t>
  </si>
  <si>
    <t>SWEJ7U8OPNRIE6Z</t>
  </si>
  <si>
    <t>W13850526</t>
  </si>
  <si>
    <t>2zmQukeeRZCV7klI2n4X</t>
  </si>
  <si>
    <t>SWEJ7U8OPNSDVUN</t>
  </si>
  <si>
    <t>W13850527</t>
  </si>
  <si>
    <t>ALZjAhb37FBjdQl6431X</t>
  </si>
  <si>
    <t>SWEJ7U8OPNSJ18K</t>
  </si>
  <si>
    <t>W13850531</t>
  </si>
  <si>
    <t>GKnJfq7RPXfeirIPWiQJ</t>
  </si>
  <si>
    <t>SWEJ7U8OPO7BEX4</t>
  </si>
  <si>
    <t>W13850546</t>
  </si>
  <si>
    <t>PR SPM BUZZ</t>
  </si>
  <si>
    <t>SWEJ7U8OPO8ASSG</t>
  </si>
  <si>
    <t>W13850547</t>
  </si>
  <si>
    <t>DMHX8I5C</t>
  </si>
  <si>
    <t>SWEJ7U8OPSRTNMR</t>
  </si>
  <si>
    <t>W13850611</t>
  </si>
  <si>
    <t>SWEJ7U8OPVGC7NT</t>
  </si>
  <si>
    <t xml:space="preserve"> HAWK VISION TECHNOLOGIES LIMITED1</t>
  </si>
  <si>
    <t>W13850644</t>
  </si>
  <si>
    <t>John - CashFlow App</t>
  </si>
  <si>
    <t>SWEJ7U8OP0D30E3</t>
  </si>
  <si>
    <t>W13850693</t>
  </si>
  <si>
    <t>G42VCNUF</t>
  </si>
  <si>
    <t>SWEJ7U8OP10AKOO</t>
  </si>
  <si>
    <t>W13850717</t>
  </si>
  <si>
    <t>IUNU8FI0</t>
  </si>
  <si>
    <t>SWEJ7U8OP2RCCNQ</t>
  </si>
  <si>
    <t>W13850728</t>
  </si>
  <si>
    <t>83558aa8-9dc0-4396-b763-7c3211ab8e3b</t>
  </si>
  <si>
    <t>SWEJ7U8OQADBYJF</t>
  </si>
  <si>
    <t>RVHGT0KBP34</t>
  </si>
  <si>
    <t>W13850831</t>
  </si>
  <si>
    <t>YN9B663A</t>
  </si>
  <si>
    <t>Transaction Failed</t>
  </si>
  <si>
    <t>SWEJ7U8OQIP7BZR</t>
  </si>
  <si>
    <t>W13850915</t>
  </si>
  <si>
    <t>wc9tsq1RPEPIW8OHGfqQ</t>
  </si>
  <si>
    <t>SWEJ7U8OQIQ1O3M</t>
  </si>
  <si>
    <t>Bingwa Sacco Society Ltd C2B</t>
  </si>
  <si>
    <t>W13850919</t>
  </si>
  <si>
    <t>cCSwsxEcj9Se7igGDTsL</t>
  </si>
  <si>
    <t>PROCESSING</t>
  </si>
  <si>
    <t>SP01001</t>
  </si>
  <si>
    <t>Transaction is being processed</t>
  </si>
  <si>
    <t>SWEJ7U8OQIREMXP</t>
  </si>
  <si>
    <t>W13850920</t>
  </si>
  <si>
    <t>8OiRbVMtrokTOkIOxESH</t>
  </si>
  <si>
    <t>SWEJ7U8OQIRN0U5</t>
  </si>
  <si>
    <t>W13850923</t>
  </si>
  <si>
    <t>B87jctqNdlRI3B2kDbI0</t>
  </si>
  <si>
    <t>SWEJ7U8OQISR0FR</t>
  </si>
  <si>
    <t>W13850927</t>
  </si>
  <si>
    <t>42XVzRJxiRHr4oXrrqCC</t>
  </si>
  <si>
    <t>SWEJ7U8OQIS4SII</t>
  </si>
  <si>
    <t>W13850933</t>
  </si>
  <si>
    <t>hu6LaQCtb6GWCIgZClp7</t>
  </si>
  <si>
    <t>SWEJ7U8OQITA3UN</t>
  </si>
  <si>
    <t>W13850935</t>
  </si>
  <si>
    <t>F6pj3nGK6rDBAfIr5y8D</t>
  </si>
  <si>
    <t>SWEJ7U8OQIUUKLM</t>
  </si>
  <si>
    <t>W13850946</t>
  </si>
  <si>
    <t>0XtfpEihzEqvE0yIjMS9</t>
  </si>
  <si>
    <t>SWEJ7U8OQIZB8LY</t>
  </si>
  <si>
    <t>W13850974</t>
  </si>
  <si>
    <t>H0gbpxEoqIYX4P1M1niz</t>
  </si>
  <si>
    <t>SWEJ7U8OQI6JQHI</t>
  </si>
  <si>
    <t>W13850993</t>
  </si>
  <si>
    <t>rKcFpjBJ9OMSJsOxD3h2</t>
  </si>
  <si>
    <t>SWEJ7U8OQI8M9E9</t>
  </si>
  <si>
    <t>W13851017</t>
  </si>
  <si>
    <t>k8U3sKys3h4qRooB8GAY</t>
  </si>
  <si>
    <t>SWEJ7U8OQI9H6IQ</t>
  </si>
  <si>
    <t>W13851024</t>
  </si>
  <si>
    <t>Hmlr85EJSWz1iMBKxXpK</t>
  </si>
  <si>
    <t>SWEJ7U8OQI9TNVA</t>
  </si>
  <si>
    <t>W13851026</t>
  </si>
  <si>
    <t>JoNv6qIrNpvaU84QaDxG</t>
  </si>
  <si>
    <t>SWEJ7U8OQJAE4IM</t>
  </si>
  <si>
    <t>W13851021</t>
  </si>
  <si>
    <t>gJbQVa1dxsX92mjWFSbg</t>
  </si>
  <si>
    <t>SWEJ7U8OQJA42WV</t>
  </si>
  <si>
    <t>W13851028</t>
  </si>
  <si>
    <t>tO1tVYQV07IDLEt6PAHW</t>
  </si>
  <si>
    <t>SWEJ7U8OQJBBYYE</t>
  </si>
  <si>
    <t>W13851045</t>
  </si>
  <si>
    <t>qbfdLgcIHIHQg7rRFE1C</t>
  </si>
  <si>
    <t>SWEJ7U8OQJGDBEY</t>
  </si>
  <si>
    <t>W13851041</t>
  </si>
  <si>
    <t>cL6wqfGfGNUWmYk0j4aU</t>
  </si>
  <si>
    <t>SWEJ7U8OQJ72F9T</t>
  </si>
  <si>
    <t>W13851067</t>
  </si>
  <si>
    <t>FvPAwf1x8Hrmxp8WNOrO</t>
  </si>
  <si>
    <t>Michael Akoth</t>
  </si>
  <si>
    <t>SWEJ7U8OQNOFRR5</t>
  </si>
  <si>
    <t>W13851142</t>
  </si>
  <si>
    <t>SWEJ7U8OSO2ITLM</t>
  </si>
  <si>
    <t>W13851224</t>
  </si>
  <si>
    <t>WH5AENA8</t>
  </si>
  <si>
    <t>SWEJ7U8OS0E2ZBQ</t>
  </si>
  <si>
    <t>RVHGT0KB6YS</t>
  </si>
  <si>
    <t>W13851335</t>
  </si>
  <si>
    <t>m82G6oAEMAVCmofELXcP</t>
  </si>
  <si>
    <t>SWEJ7U8OS0FJFVB</t>
  </si>
  <si>
    <t>W13851336</t>
  </si>
  <si>
    <t>cwIXEu0ab8MEzo5EW18J</t>
  </si>
  <si>
    <t>SWEJ7U8OS0F2F54</t>
  </si>
  <si>
    <t>W13851340</t>
  </si>
  <si>
    <t>a4CW4HcFuCe5bHeN1k6R</t>
  </si>
  <si>
    <t>SWEJ7U8OS0F6X9M</t>
  </si>
  <si>
    <t>W13851339</t>
  </si>
  <si>
    <t>MWqg3OWg8sayOtEwufBQ</t>
  </si>
  <si>
    <t>SWEJ7U8OS0GDPKK</t>
  </si>
  <si>
    <t>W13851343</t>
  </si>
  <si>
    <t>CeaLDTb50SeFuPqVA0aY</t>
  </si>
  <si>
    <t>SWEJ7U8OS0GN6ZC</t>
  </si>
  <si>
    <t>W13851346</t>
  </si>
  <si>
    <t>2c4SyZSOw4L438nM0knV</t>
  </si>
  <si>
    <t>SWEJ7U8OS0HDTWF</t>
  </si>
  <si>
    <t>W13851351</t>
  </si>
  <si>
    <t>318SmrQzRyZcyaO7WNqE</t>
  </si>
  <si>
    <t>SWEJ7U8OS0IV98D</t>
  </si>
  <si>
    <t>W13851360</t>
  </si>
  <si>
    <t>GI7mr5PqSfniZRX8MTLH</t>
  </si>
  <si>
    <t>SWEJ7U8OS0JQ08H</t>
  </si>
  <si>
    <t>W13851355</t>
  </si>
  <si>
    <t>JT7hHclWMN4hw3D15MJJ</t>
  </si>
  <si>
    <t>SWEJ7U8OS0J8MKG</t>
  </si>
  <si>
    <t>W13851363</t>
  </si>
  <si>
    <t>uKXCuALeMNhJ66vuYgOh</t>
  </si>
  <si>
    <t>SWEJ7U8OS0LW6JE</t>
  </si>
  <si>
    <t>W13851375</t>
  </si>
  <si>
    <t>99AWz5K13f0cDNMLmsoV</t>
  </si>
  <si>
    <t>SWEJ7U8OS0N2XHU</t>
  </si>
  <si>
    <t>W13851382</t>
  </si>
  <si>
    <t>Oj5PIuDOuZcC0JScSHJH</t>
  </si>
  <si>
    <t>SWEJ7U8OS0N75R4</t>
  </si>
  <si>
    <t>W13851384</t>
  </si>
  <si>
    <t>VAAgrCH1bgEgcy1TfrBf</t>
  </si>
  <si>
    <t>SWEJ7U8OS0OKSA3</t>
  </si>
  <si>
    <t>RVHGT0KB60P</t>
  </si>
  <si>
    <t>W13851386</t>
  </si>
  <si>
    <t>t3bpIgTDukrqmVOt8wS9</t>
  </si>
  <si>
    <t>SWEJ7U8OS0PBO99</t>
  </si>
  <si>
    <t>W13851401</t>
  </si>
  <si>
    <t>21UQ9robzMfchU7FzS6W</t>
  </si>
  <si>
    <t>SWEJ7U8OS0PLQ76</t>
  </si>
  <si>
    <t>W13851403</t>
  </si>
  <si>
    <t>u0prITSlM8Nu6gWfhy45</t>
  </si>
  <si>
    <t>SWEJ7U8OS0P9WZW</t>
  </si>
  <si>
    <t>W13851417</t>
  </si>
  <si>
    <t>yaHbdgZlC1NplvlVM1iq</t>
  </si>
  <si>
    <t>SWEJ7U8OS0Q65T7</t>
  </si>
  <si>
    <t>W13851399</t>
  </si>
  <si>
    <t>sgzaxR145SDoauRo8Sny</t>
  </si>
  <si>
    <t>SWEJ7U8OS0RAHG9</t>
  </si>
  <si>
    <t>W13851415</t>
  </si>
  <si>
    <t>dUCfVuW7vaBjchgECPGK</t>
  </si>
  <si>
    <t>SWEJ7U8OS0RDKLH</t>
  </si>
  <si>
    <t>W13851402</t>
  </si>
  <si>
    <t>8M7S2yUSe36acT5h5xUu</t>
  </si>
  <si>
    <t>SWEJ7U8OS0TMDVC</t>
  </si>
  <si>
    <t>W13851416</t>
  </si>
  <si>
    <t>3xr9SmG8t9eefGTvEtCA</t>
  </si>
  <si>
    <t>SWEJ7U8OS1JNYU5</t>
  </si>
  <si>
    <t>W13851440</t>
  </si>
  <si>
    <t>YsJTFHATaT7qeGrjq4zK</t>
  </si>
  <si>
    <t>SWEJ7U8OS1KQCJS</t>
  </si>
  <si>
    <t>W13851431</t>
  </si>
  <si>
    <t>4K9ED6syLxO3gyYoy9o0</t>
  </si>
  <si>
    <t>SWEJ7U8OS1NNX1P</t>
  </si>
  <si>
    <t>W13851434</t>
  </si>
  <si>
    <t>8JkQO38WxIJ9mUxlW8II</t>
  </si>
  <si>
    <t>SWEJ7U8OS1OANF0</t>
  </si>
  <si>
    <t>W13851444</t>
  </si>
  <si>
    <t>vpnl2xrU07PklC4MO93w</t>
  </si>
  <si>
    <t>SWEJ7U8OS3MWQEI</t>
  </si>
  <si>
    <t>W13851474</t>
  </si>
  <si>
    <t>PDYAXE1R</t>
  </si>
  <si>
    <t>SWEJ7U8OS3VJLDV</t>
  </si>
  <si>
    <t>RVHGT0KB60X</t>
  </si>
  <si>
    <t>Stanbic Bank</t>
  </si>
  <si>
    <t>W13851478</t>
  </si>
  <si>
    <t>Alliance Management Systems</t>
  </si>
  <si>
    <t>SWEJ7U8OTNC8V6Y</t>
  </si>
  <si>
    <t>W13851773</t>
  </si>
  <si>
    <t>Marketing cost</t>
  </si>
  <si>
    <t>nelsa onyango</t>
  </si>
  <si>
    <t>SWEJ7U8OTPE1CCC</t>
  </si>
  <si>
    <t>W13851810</t>
  </si>
  <si>
    <t>SWEJ7U8OTYL6R9Q</t>
  </si>
  <si>
    <t>W13851883</t>
  </si>
  <si>
    <t>SWEJ7U8OT3QQOE1</t>
  </si>
  <si>
    <t>W13851918</t>
  </si>
  <si>
    <t>ec7d3ce6-f277-47fe-9366-0f90becb5165</t>
  </si>
  <si>
    <t>SWEJ7U8OUCRIZO9</t>
  </si>
  <si>
    <t>W13852021</t>
  </si>
  <si>
    <t>4bdd2d35-e7b2-4eb4-99c7-57a892d55cfd</t>
  </si>
  <si>
    <t>SWEJ7U8OUKCEK2X</t>
  </si>
  <si>
    <t>W13852091</t>
  </si>
  <si>
    <t>SWEJ7U8OUKDYIFI</t>
  </si>
  <si>
    <t>W13852093</t>
  </si>
  <si>
    <t>SWEJ7U8OUNNQ2W7</t>
  </si>
  <si>
    <t xml:space="preserve"> Liquid Telecommunications (K) LTD 2</t>
  </si>
  <si>
    <t>W13852107</t>
  </si>
  <si>
    <t>SWEJ7U8OUV9QD3C</t>
  </si>
  <si>
    <t>W13852176</t>
  </si>
  <si>
    <t>Scholar Mwangi</t>
  </si>
  <si>
    <t>SWEJ7U8OY01GTGD</t>
  </si>
  <si>
    <t>W13853063</t>
  </si>
  <si>
    <t>SWEJ7U8OY68UZZ8</t>
  </si>
  <si>
    <t>W13853141</t>
  </si>
  <si>
    <t>SWEJ7U8OY7AGARA</t>
  </si>
  <si>
    <t>W13853142</t>
  </si>
  <si>
    <t>GIGFORCE LTD</t>
  </si>
  <si>
    <t>SWEJ7U8OZBBQ8VB</t>
  </si>
  <si>
    <t>W13853195</t>
  </si>
  <si>
    <t>RENT60d0a9a2825944a19599eb50f3fa955b</t>
  </si>
  <si>
    <t>SWEJ7U8OZF4NFPD</t>
  </si>
  <si>
    <t>W13853262</t>
  </si>
  <si>
    <t>351c07ac-5b43-45bf-8cf3-b8eaa352695b</t>
  </si>
  <si>
    <t>SWEJ7U8OZG6NJYC</t>
  </si>
  <si>
    <t>W13853276</t>
  </si>
  <si>
    <t>WATER7f4d3d4acc7e4e7b9cd2e1c17f454d79</t>
  </si>
  <si>
    <t>Ursulla Kiniga</t>
  </si>
  <si>
    <t>SWEJ7U8OZKJPG7M</t>
  </si>
  <si>
    <t>RVHGT0KB610</t>
  </si>
  <si>
    <t>W13853309</t>
  </si>
  <si>
    <t>SWEJ7U8OZN278Y9</t>
  </si>
  <si>
    <t>UI2SN2TV7C</t>
  </si>
  <si>
    <t>W13853337</t>
  </si>
  <si>
    <t>SWEJ7U8O2L0FQF0</t>
  </si>
  <si>
    <t>W13853723</t>
  </si>
  <si>
    <t>SWEJ7U8O2T5GX4K</t>
  </si>
  <si>
    <t>W13853789</t>
  </si>
  <si>
    <t>Kennedy Kunikina</t>
  </si>
  <si>
    <t>SWEJ7U8O20PE9L8</t>
  </si>
  <si>
    <t>UI2SN2TTY1</t>
  </si>
  <si>
    <t>W13853836</t>
  </si>
  <si>
    <t>SWEJ7U8O3G4P8C9</t>
  </si>
  <si>
    <t>W13853947</t>
  </si>
  <si>
    <t>RENT9c7d9277a6ae4bb79d5044bf89462414</t>
  </si>
  <si>
    <t>SWEJ7U8O3KDBTH4</t>
  </si>
  <si>
    <t>W13854007</t>
  </si>
  <si>
    <t>WATER535868017a19498192ae3ef53e34c9cb</t>
  </si>
  <si>
    <t>SWEJ7U8O6DQB16B</t>
  </si>
  <si>
    <t>W13854351</t>
  </si>
  <si>
    <t>JAMES KAHONGE</t>
  </si>
  <si>
    <t>SWEJ7U8O6GHEC8W</t>
  </si>
  <si>
    <t>UI2SN2TSRE</t>
  </si>
  <si>
    <t>W13854372</t>
  </si>
  <si>
    <t>Limex Dairy</t>
  </si>
  <si>
    <t>SWEJ7U8O6IMIIMH</t>
  </si>
  <si>
    <t xml:space="preserve"> IMARISHA SACCO</t>
  </si>
  <si>
    <t>W13854396</t>
  </si>
  <si>
    <t>MwF1ItZzCR25eeNjRWzL</t>
  </si>
  <si>
    <t>Rhodah - Operations</t>
  </si>
  <si>
    <t>SWEJ7U8O6LOW5U2</t>
  </si>
  <si>
    <t xml:space="preserve"> Gulf African Bank</t>
  </si>
  <si>
    <t>W13854442</t>
  </si>
  <si>
    <t>MTV1JR58</t>
  </si>
  <si>
    <t>PAUL WANYOIKE</t>
  </si>
  <si>
    <t>SWEJ7U8O6NJLVAF</t>
  </si>
  <si>
    <t>W13854465</t>
  </si>
  <si>
    <t>DEBORAH SLATER</t>
  </si>
  <si>
    <t>SWEJ7U8O6R2VFPW</t>
  </si>
  <si>
    <t>W13854542</t>
  </si>
  <si>
    <t>QC4B3JGV</t>
  </si>
  <si>
    <t>Cynthia - Tipsy tips</t>
  </si>
  <si>
    <t>SWEJ7U8O62O2HEG</t>
  </si>
  <si>
    <t xml:space="preserve"> BRANCH MICROFINANCE BANK LIMITED</t>
  </si>
  <si>
    <t>W13854651</t>
  </si>
  <si>
    <t>SWEJ7U8O68P0O6K</t>
  </si>
  <si>
    <t>W13854712</t>
  </si>
  <si>
    <t>Samuel - samuel musali</t>
  </si>
  <si>
    <t>SWEJ7U8O708LK5R</t>
  </si>
  <si>
    <t>W13855019</t>
  </si>
  <si>
    <t>Top Choice Dairy</t>
  </si>
  <si>
    <t>SWEJ7U8O79RTENI</t>
  </si>
  <si>
    <t xml:space="preserve"> AMICA SACCO LIMITED</t>
  </si>
  <si>
    <t>W13855134</t>
  </si>
  <si>
    <t>vyCAps5Z8MsN2O1bWeRg</t>
  </si>
  <si>
    <t>Share</t>
  </si>
  <si>
    <t>SWEJ7U8PAWWIJ9M</t>
  </si>
  <si>
    <t xml:space="preserve"> CHOICE  MICROFINANCE BANK.</t>
  </si>
  <si>
    <t>W13855491</t>
  </si>
  <si>
    <t>WDB-cmtk39lg3000ekdfmo4vc22s2-1</t>
  </si>
  <si>
    <t>SWEJ7U8PAWXQCBY</t>
  </si>
  <si>
    <t>W13855494</t>
  </si>
  <si>
    <t>WDB-cmtk39m6a000nkdfm70o6m0i8-1</t>
  </si>
  <si>
    <t>SWEJ7U8PAWX2B22</t>
  </si>
  <si>
    <t>W13855496</t>
  </si>
  <si>
    <t>WDB-cmtk39mnh000skdfmhmda6ayi-1</t>
  </si>
  <si>
    <t>KCC 006K</t>
  </si>
  <si>
    <t>SWEJ7U8PA3RLV50</t>
  </si>
  <si>
    <t>W13855553</t>
  </si>
  <si>
    <t>KCL 824K</t>
  </si>
  <si>
    <t>SWEJ7U8PA5CAE0Y</t>
  </si>
  <si>
    <t>W13855571</t>
  </si>
  <si>
    <t>KCA 528T</t>
  </si>
  <si>
    <t>SWEJ7U8PA62MM2J</t>
  </si>
  <si>
    <t>W13855586</t>
  </si>
  <si>
    <t>SWEJ7U8PA89IZN5</t>
  </si>
  <si>
    <t>W13855609</t>
  </si>
  <si>
    <t>SWEJ7U8PA972KWJ</t>
  </si>
  <si>
    <t>W13855613</t>
  </si>
  <si>
    <t>KBW 579X</t>
  </si>
  <si>
    <t>SWEJ7U8PBCHE29J</t>
  </si>
  <si>
    <t>W13855634</t>
  </si>
  <si>
    <t>Umowa Sacco- KDY 054K</t>
  </si>
  <si>
    <t>SWEJ7U8PBDSH721</t>
  </si>
  <si>
    <t>W13855647</t>
  </si>
  <si>
    <t>Anthony Muchiri</t>
  </si>
  <si>
    <t>SWEJ7U8PBDTW8V2</t>
  </si>
  <si>
    <t>W13855648</t>
  </si>
  <si>
    <t>Umowa Sacco- KDY 530B</t>
  </si>
  <si>
    <t>SWEJ7U8PBHAHCGN</t>
  </si>
  <si>
    <t>W13855670</t>
  </si>
  <si>
    <t>fuel 01/09</t>
  </si>
  <si>
    <t>Umowa Sacco- KDY 573B</t>
  </si>
  <si>
    <t>SWEJ7U8PBIXQNVA</t>
  </si>
  <si>
    <t>W13855679</t>
  </si>
  <si>
    <t>SWEJ7U8PBI4IK10</t>
  </si>
  <si>
    <t>W13855683</t>
  </si>
  <si>
    <t>KCJ 672X</t>
  </si>
  <si>
    <t>SWEJ7U8PBVSSU58</t>
  </si>
  <si>
    <t>W13855817</t>
  </si>
  <si>
    <t>SWEJ7U8PB6GCJ52</t>
  </si>
  <si>
    <t>W13855899</t>
  </si>
  <si>
    <t>MIXEDa5bf5bca1af2433abe02e637e2bb4d62</t>
  </si>
  <si>
    <t>Fundia David</t>
  </si>
  <si>
    <t>SWEJ7U8PCK0U0RG</t>
  </si>
  <si>
    <t>UI2SN2U4AD</t>
  </si>
  <si>
    <t>W13855999</t>
  </si>
  <si>
    <t>KCB  535E</t>
  </si>
  <si>
    <t>SWEJ7U8PCQ628TR</t>
  </si>
  <si>
    <t>W13856058</t>
  </si>
  <si>
    <t>Felix Otieno</t>
  </si>
  <si>
    <t>SWEJ7U8PCZV0T7T</t>
  </si>
  <si>
    <t>UI2SN2U73M</t>
  </si>
  <si>
    <t>W13856119</t>
  </si>
  <si>
    <t>SWEJ7U8PCZXDV1J</t>
  </si>
  <si>
    <t xml:space="preserve"> VILCOM NETWORKS LTD</t>
  </si>
  <si>
    <t>W13856121</t>
  </si>
  <si>
    <t>GZVEI2M0</t>
  </si>
  <si>
    <t>KBQ 670J</t>
  </si>
  <si>
    <t>SWEJ7U8PC3JT5EM</t>
  </si>
  <si>
    <t>W13856158</t>
  </si>
  <si>
    <t>Consolata Kingori</t>
  </si>
  <si>
    <t>SWEJ7U8PDLGHIO3</t>
  </si>
  <si>
    <t>W13856319</t>
  </si>
  <si>
    <t>Tawala Shuttle- KDQ 163M</t>
  </si>
  <si>
    <t>SWEJ7U8PFQS393V</t>
  </si>
  <si>
    <t>W13856411</t>
  </si>
  <si>
    <t>Umowa Sacco- KDY 812B</t>
  </si>
  <si>
    <t>SWEJ7U8PFSNRM31</t>
  </si>
  <si>
    <t>W13856421</t>
  </si>
  <si>
    <t>Umowa Sacco- KDY 584B</t>
  </si>
  <si>
    <t>SWEJ7U8PFUFSMMS</t>
  </si>
  <si>
    <t>W13856430</t>
  </si>
  <si>
    <t>SWEJ7U8PFXYW4FY</t>
  </si>
  <si>
    <t>W13856457</t>
  </si>
  <si>
    <t>SWEJ7U8PFY0TKBP</t>
  </si>
  <si>
    <t>W13856470</t>
  </si>
  <si>
    <t>SWEJ7U8PF0N93HB</t>
  </si>
  <si>
    <t>W13856483</t>
  </si>
  <si>
    <t>Brian Ng'ang'a</t>
  </si>
  <si>
    <t>SWEJ7U8PF0WQPSG</t>
  </si>
  <si>
    <t>W13856484</t>
  </si>
  <si>
    <t>George Okeyo</t>
  </si>
  <si>
    <t>SWEJ7U8PJ4D7UJY</t>
  </si>
  <si>
    <t>UI2SN2U4UR</t>
  </si>
  <si>
    <t>W13856932</t>
  </si>
  <si>
    <t>Michael Richo</t>
  </si>
  <si>
    <t>SWEJ7U8PLQFJ5OQ</t>
  </si>
  <si>
    <t>W13857230</t>
  </si>
  <si>
    <t>Withdrawal to bank</t>
  </si>
  <si>
    <t>M-PESA RECONCILIATION</t>
  </si>
  <si>
    <t>DATE</t>
  </si>
  <si>
    <t>Opening Balance</t>
  </si>
  <si>
    <t xml:space="preserve">Add :Reversals </t>
  </si>
  <si>
    <t>Less:Customer Withdrawals</t>
  </si>
  <si>
    <t>Balance c/d</t>
  </si>
  <si>
    <t>Balance as per Mpesa smt</t>
  </si>
  <si>
    <t>Variance</t>
  </si>
  <si>
    <t>Summary</t>
  </si>
  <si>
    <t>Withdrawals as per sasapay</t>
  </si>
  <si>
    <t>Withdrawals as per M-pesa</t>
  </si>
  <si>
    <t>Justification</t>
  </si>
  <si>
    <t>Transaction on Mpesa only.</t>
  </si>
  <si>
    <t>Transaction on Sasapay only.</t>
  </si>
  <si>
    <t>Add:Float movement(Movement from  utility to working account account)</t>
  </si>
  <si>
    <t>Less:charges</t>
  </si>
  <si>
    <t>Less:Withdrawal to bank</t>
  </si>
  <si>
    <t>2nd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</si>
</sst>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49" fontId="2" fillId="2" borderId="1" xfId="0" applyNumberFormat="1" applyFont="1" applyFill="1" applyBorder="1" applyAlignment="1">
      <alignment horizontal="left"/>
    </xf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3" borderId="0" xfId="0" applyFill="1"/>
    <xf numFmtId="4" fontId="0" fillId="0" borderId="0" xfId="0" applyNumberFormat="1"/>
    <xf numFmtId="43" fontId="0" fillId="0" borderId="0" xfId="1" applyFont="1"/>
    <xf numFmtId="0" fontId="3" fillId="0" borderId="0" xfId="0" applyFont="1"/>
    <xf numFmtId="0" fontId="4" fillId="4" borderId="2" xfId="0" applyFont="1" applyFill="1" applyBorder="1"/>
    <xf numFmtId="0" fontId="5" fillId="4" borderId="2" xfId="0" applyFont="1" applyFill="1" applyBorder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2" xfId="0" applyFont="1" applyBorder="1"/>
    <xf numFmtId="0" fontId="8" fillId="5" borderId="2" xfId="0" applyFont="1" applyFill="1" applyBorder="1"/>
    <xf numFmtId="0" fontId="6" fillId="4" borderId="2" xfId="0" applyFont="1" applyFill="1" applyBorder="1"/>
    <xf numFmtId="0" fontId="8" fillId="0" borderId="2" xfId="0" applyFont="1" applyBorder="1"/>
    <xf numFmtId="4" fontId="5" fillId="0" borderId="2" xfId="0" applyNumberFormat="1" applyFont="1" applyBorder="1"/>
    <xf numFmtId="4" fontId="4" fillId="0" borderId="2" xfId="0" applyNumberFormat="1" applyFont="1" applyBorder="1" applyAlignment="1">
      <alignment horizontal="right"/>
    </xf>
    <xf numFmtId="4" fontId="5" fillId="0" borderId="2" xfId="0" applyNumberFormat="1" applyFont="1" applyBorder="1" applyAlignment="1">
      <alignment horizontal="right"/>
    </xf>
    <xf numFmtId="43" fontId="4" fillId="0" borderId="2" xfId="0" applyNumberFormat="1" applyFont="1" applyBorder="1" applyAlignment="1">
      <alignment horizontal="right"/>
    </xf>
    <xf numFmtId="4" fontId="6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DCDA-6C8B-4DA8-85FD-E857A01FDDF1}">
  <dimension ref="A1:N622"/>
  <sheetViews>
    <sheetView topLeftCell="E1" workbookViewId="0">
      <selection activeCell="H623" sqref="H623"/>
    </sheetView>
  </sheetViews>
  <sheetFormatPr defaultRowHeight="12.5" x14ac:dyDescent="0.25"/>
  <cols>
    <col min="1" max="14" width="25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14" x14ac:dyDescent="0.25">
      <c r="A5" s="1" t="s">
        <v>11</v>
      </c>
      <c r="B5" s="1" t="s">
        <v>12</v>
      </c>
      <c r="C5" s="1" t="s">
        <v>13</v>
      </c>
      <c r="D5" s="1" t="s">
        <v>1</v>
      </c>
      <c r="E5" s="1" t="s">
        <v>14</v>
      </c>
      <c r="F5" s="1" t="s">
        <v>15</v>
      </c>
    </row>
    <row r="6" spans="1:14" x14ac:dyDescent="0.25">
      <c r="A6" s="1" t="s">
        <v>16</v>
      </c>
      <c r="B6" s="2">
        <v>28661758.390000001</v>
      </c>
      <c r="C6" s="1" t="s">
        <v>17</v>
      </c>
      <c r="D6" s="2">
        <v>8341383.6399999997</v>
      </c>
      <c r="E6" s="1" t="s">
        <v>18</v>
      </c>
      <c r="F6" s="2"/>
      <c r="G6" s="1" t="s">
        <v>19</v>
      </c>
      <c r="H6" s="2">
        <v>18632763.25</v>
      </c>
      <c r="I6" s="1" t="s">
        <v>20</v>
      </c>
      <c r="J6" s="2">
        <v>-38954918</v>
      </c>
    </row>
    <row r="7" spans="1:14" ht="13" x14ac:dyDescent="0.3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34</v>
      </c>
    </row>
    <row r="8" spans="1:14" x14ac:dyDescent="0.25">
      <c r="A8" s="1" t="s">
        <v>35</v>
      </c>
      <c r="B8" s="1" t="s">
        <v>36</v>
      </c>
      <c r="C8" s="1" t="s">
        <v>36</v>
      </c>
      <c r="D8" s="1" t="s">
        <v>37</v>
      </c>
      <c r="E8" s="1" t="s">
        <v>38</v>
      </c>
      <c r="F8" s="1" t="s">
        <v>39</v>
      </c>
      <c r="G8" s="2">
        <v>-18</v>
      </c>
      <c r="H8" s="2">
        <v>8341383.6399999997</v>
      </c>
      <c r="I8" s="1" t="s">
        <v>40</v>
      </c>
      <c r="J8" s="1" t="s">
        <v>41</v>
      </c>
      <c r="K8" s="1" t="s">
        <v>42</v>
      </c>
      <c r="L8" s="1" t="s">
        <v>39</v>
      </c>
      <c r="M8" s="1" t="s">
        <v>39</v>
      </c>
      <c r="N8" s="1" t="s">
        <v>43</v>
      </c>
    </row>
    <row r="9" spans="1:14" x14ac:dyDescent="0.25">
      <c r="A9" s="1" t="s">
        <v>35</v>
      </c>
      <c r="B9" s="1" t="s">
        <v>36</v>
      </c>
      <c r="C9" s="1" t="s">
        <v>36</v>
      </c>
      <c r="D9" s="1" t="s">
        <v>44</v>
      </c>
      <c r="E9" s="1" t="s">
        <v>38</v>
      </c>
      <c r="F9" s="1" t="s">
        <v>39</v>
      </c>
      <c r="G9" s="2">
        <v>-1450</v>
      </c>
      <c r="H9" s="2">
        <v>8341401.6399999997</v>
      </c>
      <c r="I9" s="1" t="s">
        <v>40</v>
      </c>
      <c r="J9" s="1" t="s">
        <v>41</v>
      </c>
      <c r="K9" s="1" t="s">
        <v>45</v>
      </c>
      <c r="L9" s="1" t="s">
        <v>39</v>
      </c>
      <c r="M9" s="1" t="s">
        <v>39</v>
      </c>
      <c r="N9" s="1" t="s">
        <v>43</v>
      </c>
    </row>
    <row r="10" spans="1:14" x14ac:dyDescent="0.25">
      <c r="A10" s="1" t="s">
        <v>46</v>
      </c>
      <c r="B10" s="1" t="s">
        <v>47</v>
      </c>
      <c r="C10" s="1" t="s">
        <v>47</v>
      </c>
      <c r="D10" s="1" t="s">
        <v>48</v>
      </c>
      <c r="E10" s="1" t="s">
        <v>38</v>
      </c>
      <c r="F10" s="1" t="s">
        <v>39</v>
      </c>
      <c r="G10" s="2">
        <v>-13</v>
      </c>
      <c r="H10" s="2">
        <v>8342851.6399999997</v>
      </c>
      <c r="I10" s="1" t="s">
        <v>40</v>
      </c>
      <c r="J10" s="1" t="s">
        <v>49</v>
      </c>
      <c r="K10" s="1" t="s">
        <v>42</v>
      </c>
      <c r="L10" s="1" t="s">
        <v>39</v>
      </c>
      <c r="M10" s="1" t="s">
        <v>39</v>
      </c>
      <c r="N10" s="1" t="s">
        <v>43</v>
      </c>
    </row>
    <row r="11" spans="1:14" x14ac:dyDescent="0.25">
      <c r="A11" s="1" t="s">
        <v>46</v>
      </c>
      <c r="B11" s="1" t="s">
        <v>47</v>
      </c>
      <c r="C11" s="1" t="s">
        <v>47</v>
      </c>
      <c r="D11" s="1" t="s">
        <v>50</v>
      </c>
      <c r="E11" s="1" t="s">
        <v>38</v>
      </c>
      <c r="F11" s="1" t="s">
        <v>39</v>
      </c>
      <c r="G11" s="2">
        <v>-750</v>
      </c>
      <c r="H11" s="2">
        <v>8342864.6399999997</v>
      </c>
      <c r="I11" s="1" t="s">
        <v>40</v>
      </c>
      <c r="J11" s="1" t="s">
        <v>49</v>
      </c>
      <c r="K11" s="1" t="s">
        <v>51</v>
      </c>
      <c r="L11" s="1" t="s">
        <v>39</v>
      </c>
      <c r="M11" s="1" t="s">
        <v>52</v>
      </c>
      <c r="N11" s="1" t="s">
        <v>43</v>
      </c>
    </row>
    <row r="12" spans="1:14" x14ac:dyDescent="0.25">
      <c r="A12" s="1" t="s">
        <v>53</v>
      </c>
      <c r="B12" s="1" t="s">
        <v>54</v>
      </c>
      <c r="C12" s="1" t="s">
        <v>54</v>
      </c>
      <c r="D12" s="1" t="s">
        <v>37</v>
      </c>
      <c r="E12" s="1" t="s">
        <v>38</v>
      </c>
      <c r="F12" s="1" t="s">
        <v>39</v>
      </c>
      <c r="G12" s="2">
        <v>-39</v>
      </c>
      <c r="H12" s="2">
        <v>8343614.6399999997</v>
      </c>
      <c r="I12" s="1" t="s">
        <v>40</v>
      </c>
      <c r="J12" s="1" t="s">
        <v>41</v>
      </c>
      <c r="K12" s="1" t="s">
        <v>42</v>
      </c>
      <c r="L12" s="1" t="s">
        <v>39</v>
      </c>
      <c r="M12" s="1" t="s">
        <v>39</v>
      </c>
      <c r="N12" s="1" t="s">
        <v>43</v>
      </c>
    </row>
    <row r="13" spans="1:14" x14ac:dyDescent="0.25">
      <c r="A13" s="1" t="s">
        <v>53</v>
      </c>
      <c r="B13" s="1" t="s">
        <v>54</v>
      </c>
      <c r="C13" s="1" t="s">
        <v>54</v>
      </c>
      <c r="D13" s="1" t="s">
        <v>55</v>
      </c>
      <c r="E13" s="1" t="s">
        <v>38</v>
      </c>
      <c r="F13" s="1" t="s">
        <v>39</v>
      </c>
      <c r="G13" s="2">
        <v>-5000</v>
      </c>
      <c r="H13" s="2">
        <v>8343653.6399999997</v>
      </c>
      <c r="I13" s="1" t="s">
        <v>40</v>
      </c>
      <c r="J13" s="1" t="s">
        <v>41</v>
      </c>
      <c r="K13" s="1" t="s">
        <v>56</v>
      </c>
      <c r="L13" s="1" t="s">
        <v>39</v>
      </c>
      <c r="M13" s="1" t="s">
        <v>39</v>
      </c>
      <c r="N13" s="1" t="s">
        <v>43</v>
      </c>
    </row>
    <row r="14" spans="1:14" x14ac:dyDescent="0.25">
      <c r="A14" s="1" t="s">
        <v>57</v>
      </c>
      <c r="B14" s="1" t="s">
        <v>58</v>
      </c>
      <c r="C14" s="1" t="s">
        <v>58</v>
      </c>
      <c r="D14" s="1" t="s">
        <v>37</v>
      </c>
      <c r="E14" s="1" t="s">
        <v>38</v>
      </c>
      <c r="F14" s="1" t="s">
        <v>39</v>
      </c>
      <c r="G14" s="2">
        <v>-39</v>
      </c>
      <c r="H14" s="2">
        <v>8348653.6399999997</v>
      </c>
      <c r="I14" s="1" t="s">
        <v>40</v>
      </c>
      <c r="J14" s="1" t="s">
        <v>41</v>
      </c>
      <c r="K14" s="1" t="s">
        <v>42</v>
      </c>
      <c r="L14" s="1" t="s">
        <v>39</v>
      </c>
      <c r="M14" s="1" t="s">
        <v>39</v>
      </c>
      <c r="N14" s="1" t="s">
        <v>43</v>
      </c>
    </row>
    <row r="15" spans="1:14" x14ac:dyDescent="0.25">
      <c r="A15" s="1" t="s">
        <v>57</v>
      </c>
      <c r="B15" s="1" t="s">
        <v>58</v>
      </c>
      <c r="C15" s="1" t="s">
        <v>58</v>
      </c>
      <c r="D15" s="1" t="s">
        <v>59</v>
      </c>
      <c r="E15" s="1" t="s">
        <v>38</v>
      </c>
      <c r="F15" s="1" t="s">
        <v>39</v>
      </c>
      <c r="G15" s="2">
        <v>-5000</v>
      </c>
      <c r="H15" s="2">
        <v>8348692.6399999997</v>
      </c>
      <c r="I15" s="1" t="s">
        <v>40</v>
      </c>
      <c r="J15" s="1" t="s">
        <v>41</v>
      </c>
      <c r="K15" s="1" t="s">
        <v>56</v>
      </c>
      <c r="L15" s="1" t="s">
        <v>39</v>
      </c>
      <c r="M15" s="1" t="s">
        <v>39</v>
      </c>
      <c r="N15" s="1" t="s">
        <v>43</v>
      </c>
    </row>
    <row r="16" spans="1:14" x14ac:dyDescent="0.25">
      <c r="A16" s="1" t="s">
        <v>60</v>
      </c>
      <c r="B16" s="1" t="s">
        <v>61</v>
      </c>
      <c r="C16" s="1" t="s">
        <v>61</v>
      </c>
      <c r="D16" s="1" t="s">
        <v>37</v>
      </c>
      <c r="E16" s="1" t="s">
        <v>38</v>
      </c>
      <c r="F16" s="1" t="s">
        <v>39</v>
      </c>
      <c r="G16" s="2">
        <v>-39</v>
      </c>
      <c r="H16" s="2">
        <v>8353692.6399999997</v>
      </c>
      <c r="I16" s="1" t="s">
        <v>40</v>
      </c>
      <c r="J16" s="1" t="s">
        <v>41</v>
      </c>
      <c r="K16" s="1" t="s">
        <v>42</v>
      </c>
      <c r="L16" s="1" t="s">
        <v>39</v>
      </c>
      <c r="M16" s="1" t="s">
        <v>39</v>
      </c>
      <c r="N16" s="1" t="s">
        <v>43</v>
      </c>
    </row>
    <row r="17" spans="1:14" x14ac:dyDescent="0.25">
      <c r="A17" s="1" t="s">
        <v>60</v>
      </c>
      <c r="B17" s="1" t="s">
        <v>61</v>
      </c>
      <c r="C17" s="1" t="s">
        <v>61</v>
      </c>
      <c r="D17" s="1" t="s">
        <v>62</v>
      </c>
      <c r="E17" s="1" t="s">
        <v>38</v>
      </c>
      <c r="F17" s="1" t="s">
        <v>39</v>
      </c>
      <c r="G17" s="2">
        <v>-4300</v>
      </c>
      <c r="H17" s="2">
        <v>8353731.6399999997</v>
      </c>
      <c r="I17" s="1" t="s">
        <v>40</v>
      </c>
      <c r="J17" s="1" t="s">
        <v>41</v>
      </c>
      <c r="K17" s="1" t="s">
        <v>63</v>
      </c>
      <c r="L17" s="1" t="s">
        <v>39</v>
      </c>
      <c r="M17" s="1" t="s">
        <v>39</v>
      </c>
      <c r="N17" s="1" t="s">
        <v>43</v>
      </c>
    </row>
    <row r="18" spans="1:14" x14ac:dyDescent="0.25">
      <c r="A18" s="1" t="s">
        <v>64</v>
      </c>
      <c r="B18" s="1" t="s">
        <v>65</v>
      </c>
      <c r="C18" s="1" t="s">
        <v>65</v>
      </c>
      <c r="D18" s="1" t="s">
        <v>37</v>
      </c>
      <c r="E18" s="1" t="s">
        <v>38</v>
      </c>
      <c r="F18" s="1" t="s">
        <v>39</v>
      </c>
      <c r="G18" s="2">
        <v>-39</v>
      </c>
      <c r="H18" s="2">
        <v>8358031.6399999997</v>
      </c>
      <c r="I18" s="1" t="s">
        <v>40</v>
      </c>
      <c r="J18" s="1" t="s">
        <v>41</v>
      </c>
      <c r="K18" s="1" t="s">
        <v>42</v>
      </c>
      <c r="L18" s="1" t="s">
        <v>39</v>
      </c>
      <c r="M18" s="1" t="s">
        <v>39</v>
      </c>
      <c r="N18" s="1" t="s">
        <v>43</v>
      </c>
    </row>
    <row r="19" spans="1:14" x14ac:dyDescent="0.25">
      <c r="A19" s="1" t="s">
        <v>64</v>
      </c>
      <c r="B19" s="1" t="s">
        <v>65</v>
      </c>
      <c r="C19" s="1" t="s">
        <v>65</v>
      </c>
      <c r="D19" s="1" t="s">
        <v>66</v>
      </c>
      <c r="E19" s="1" t="s">
        <v>38</v>
      </c>
      <c r="F19" s="1" t="s">
        <v>39</v>
      </c>
      <c r="G19" s="2">
        <v>-5000</v>
      </c>
      <c r="H19" s="2">
        <v>8358070.6399999997</v>
      </c>
      <c r="I19" s="1" t="s">
        <v>40</v>
      </c>
      <c r="J19" s="1" t="s">
        <v>41</v>
      </c>
      <c r="K19" s="1" t="s">
        <v>56</v>
      </c>
      <c r="L19" s="1" t="s">
        <v>39</v>
      </c>
      <c r="M19" s="1" t="s">
        <v>39</v>
      </c>
      <c r="N19" s="1" t="s">
        <v>43</v>
      </c>
    </row>
    <row r="20" spans="1:14" x14ac:dyDescent="0.25">
      <c r="A20" s="1" t="s">
        <v>67</v>
      </c>
      <c r="B20" s="1" t="s">
        <v>68</v>
      </c>
      <c r="C20" s="1" t="s">
        <v>68</v>
      </c>
      <c r="D20" s="1" t="s">
        <v>37</v>
      </c>
      <c r="E20" s="1" t="s">
        <v>38</v>
      </c>
      <c r="F20" s="1" t="s">
        <v>39</v>
      </c>
      <c r="G20" s="2">
        <v>-39</v>
      </c>
      <c r="H20" s="2">
        <v>8363070.6399999997</v>
      </c>
      <c r="I20" s="1" t="s">
        <v>40</v>
      </c>
      <c r="J20" s="1" t="s">
        <v>41</v>
      </c>
      <c r="K20" s="1" t="s">
        <v>42</v>
      </c>
      <c r="L20" s="1" t="s">
        <v>39</v>
      </c>
      <c r="M20" s="1" t="s">
        <v>39</v>
      </c>
      <c r="N20" s="1" t="s">
        <v>43</v>
      </c>
    </row>
    <row r="21" spans="1:14" x14ac:dyDescent="0.25">
      <c r="A21" s="1" t="s">
        <v>67</v>
      </c>
      <c r="B21" s="1" t="s">
        <v>68</v>
      </c>
      <c r="C21" s="1" t="s">
        <v>68</v>
      </c>
      <c r="D21" s="1" t="s">
        <v>69</v>
      </c>
      <c r="E21" s="1" t="s">
        <v>38</v>
      </c>
      <c r="F21" s="1" t="s">
        <v>39</v>
      </c>
      <c r="G21" s="2">
        <v>-5000</v>
      </c>
      <c r="H21" s="2">
        <v>8363109.6399999997</v>
      </c>
      <c r="I21" s="1" t="s">
        <v>40</v>
      </c>
      <c r="J21" s="1" t="s">
        <v>41</v>
      </c>
      <c r="K21" s="1" t="s">
        <v>56</v>
      </c>
      <c r="L21" s="1" t="s">
        <v>39</v>
      </c>
      <c r="M21" s="1" t="s">
        <v>39</v>
      </c>
      <c r="N21" s="1" t="s">
        <v>43</v>
      </c>
    </row>
    <row r="22" spans="1:14" x14ac:dyDescent="0.25">
      <c r="A22" s="1" t="s">
        <v>70</v>
      </c>
      <c r="B22" s="1" t="s">
        <v>71</v>
      </c>
      <c r="C22" s="1" t="s">
        <v>71</v>
      </c>
      <c r="D22" s="1" t="s">
        <v>37</v>
      </c>
      <c r="E22" s="1" t="s">
        <v>38</v>
      </c>
      <c r="F22" s="1" t="s">
        <v>39</v>
      </c>
      <c r="G22" s="2">
        <v>-54</v>
      </c>
      <c r="H22" s="2">
        <v>8368109.6399999997</v>
      </c>
      <c r="I22" s="1" t="s">
        <v>40</v>
      </c>
      <c r="J22" s="1" t="s">
        <v>41</v>
      </c>
      <c r="K22" s="1" t="s">
        <v>42</v>
      </c>
      <c r="L22" s="1" t="s">
        <v>39</v>
      </c>
      <c r="M22" s="1" t="s">
        <v>39</v>
      </c>
      <c r="N22" s="1" t="s">
        <v>43</v>
      </c>
    </row>
    <row r="23" spans="1:14" x14ac:dyDescent="0.25">
      <c r="A23" s="1" t="s">
        <v>70</v>
      </c>
      <c r="B23" s="1" t="s">
        <v>71</v>
      </c>
      <c r="C23" s="1" t="s">
        <v>71</v>
      </c>
      <c r="D23" s="1" t="s">
        <v>72</v>
      </c>
      <c r="E23" s="1" t="s">
        <v>38</v>
      </c>
      <c r="F23" s="1" t="s">
        <v>39</v>
      </c>
      <c r="G23" s="2">
        <v>-7900</v>
      </c>
      <c r="H23" s="2">
        <v>8368163.6399999997</v>
      </c>
      <c r="I23" s="1" t="s">
        <v>40</v>
      </c>
      <c r="J23" s="1" t="s">
        <v>41</v>
      </c>
      <c r="K23" s="1" t="s">
        <v>73</v>
      </c>
      <c r="L23" s="1" t="s">
        <v>39</v>
      </c>
      <c r="M23" s="1" t="s">
        <v>39</v>
      </c>
      <c r="N23" s="1" t="s">
        <v>43</v>
      </c>
    </row>
    <row r="24" spans="1:14" x14ac:dyDescent="0.25">
      <c r="A24" s="1" t="s">
        <v>74</v>
      </c>
      <c r="B24" s="1" t="s">
        <v>75</v>
      </c>
      <c r="C24" s="1" t="s">
        <v>75</v>
      </c>
      <c r="D24" s="1" t="s">
        <v>48</v>
      </c>
      <c r="E24" s="1" t="s">
        <v>38</v>
      </c>
      <c r="F24" s="1" t="s">
        <v>39</v>
      </c>
      <c r="G24" s="2">
        <v>-8</v>
      </c>
      <c r="H24" s="2">
        <v>8376063.6399999997</v>
      </c>
      <c r="I24" s="1" t="s">
        <v>40</v>
      </c>
      <c r="J24" s="1" t="s">
        <v>49</v>
      </c>
      <c r="K24" s="1" t="s">
        <v>42</v>
      </c>
      <c r="L24" s="1" t="s">
        <v>39</v>
      </c>
      <c r="M24" s="1" t="s">
        <v>39</v>
      </c>
      <c r="N24" s="1" t="s">
        <v>43</v>
      </c>
    </row>
    <row r="25" spans="1:14" x14ac:dyDescent="0.25">
      <c r="A25" s="1" t="s">
        <v>74</v>
      </c>
      <c r="B25" s="1" t="s">
        <v>75</v>
      </c>
      <c r="C25" s="1" t="s">
        <v>75</v>
      </c>
      <c r="D25" s="1" t="s">
        <v>76</v>
      </c>
      <c r="E25" s="1" t="s">
        <v>38</v>
      </c>
      <c r="F25" s="1" t="s">
        <v>39</v>
      </c>
      <c r="G25" s="2">
        <v>-150</v>
      </c>
      <c r="H25" s="2">
        <v>8376071.6399999997</v>
      </c>
      <c r="I25" s="1" t="s">
        <v>40</v>
      </c>
      <c r="J25" s="1" t="s">
        <v>49</v>
      </c>
      <c r="K25" s="1" t="s">
        <v>77</v>
      </c>
      <c r="L25" s="1" t="s">
        <v>39</v>
      </c>
      <c r="M25" s="1" t="s">
        <v>78</v>
      </c>
      <c r="N25" s="1" t="s">
        <v>43</v>
      </c>
    </row>
    <row r="26" spans="1:14" x14ac:dyDescent="0.25">
      <c r="A26" s="1" t="s">
        <v>79</v>
      </c>
      <c r="B26" s="1" t="s">
        <v>80</v>
      </c>
      <c r="C26" s="1" t="s">
        <v>80</v>
      </c>
      <c r="D26" s="1" t="s">
        <v>37</v>
      </c>
      <c r="E26" s="1" t="s">
        <v>38</v>
      </c>
      <c r="F26" s="1" t="s">
        <v>39</v>
      </c>
      <c r="G26" s="2">
        <v>-48</v>
      </c>
      <c r="H26" s="2">
        <v>8376221.6399999997</v>
      </c>
      <c r="I26" s="1" t="s">
        <v>40</v>
      </c>
      <c r="J26" s="1" t="s">
        <v>41</v>
      </c>
      <c r="K26" s="1" t="s">
        <v>42</v>
      </c>
      <c r="L26" s="1" t="s">
        <v>39</v>
      </c>
      <c r="M26" s="1" t="s">
        <v>39</v>
      </c>
      <c r="N26" s="1" t="s">
        <v>43</v>
      </c>
    </row>
    <row r="27" spans="1:14" x14ac:dyDescent="0.25">
      <c r="A27" s="1" t="s">
        <v>79</v>
      </c>
      <c r="B27" s="1" t="s">
        <v>80</v>
      </c>
      <c r="C27" s="1" t="s">
        <v>80</v>
      </c>
      <c r="D27" s="1" t="s">
        <v>81</v>
      </c>
      <c r="E27" s="1" t="s">
        <v>38</v>
      </c>
      <c r="F27" s="1" t="s">
        <v>39</v>
      </c>
      <c r="G27" s="2">
        <v>-5550</v>
      </c>
      <c r="H27" s="2">
        <v>8376269.6399999997</v>
      </c>
      <c r="I27" s="1" t="s">
        <v>40</v>
      </c>
      <c r="J27" s="1" t="s">
        <v>41</v>
      </c>
      <c r="K27" s="1" t="s">
        <v>82</v>
      </c>
      <c r="L27" s="1" t="s">
        <v>39</v>
      </c>
      <c r="M27" s="1" t="s">
        <v>39</v>
      </c>
      <c r="N27" s="1" t="s">
        <v>43</v>
      </c>
    </row>
    <row r="28" spans="1:14" x14ac:dyDescent="0.25">
      <c r="A28" s="1" t="s">
        <v>83</v>
      </c>
      <c r="B28" s="1" t="s">
        <v>84</v>
      </c>
      <c r="C28" s="1" t="s">
        <v>84</v>
      </c>
      <c r="D28" s="1" t="s">
        <v>48</v>
      </c>
      <c r="E28" s="1" t="s">
        <v>38</v>
      </c>
      <c r="F28" s="1" t="s">
        <v>39</v>
      </c>
      <c r="G28" s="2">
        <v>-25</v>
      </c>
      <c r="H28" s="2">
        <v>8381819.6399999997</v>
      </c>
      <c r="I28" s="1" t="s">
        <v>40</v>
      </c>
      <c r="J28" s="1" t="s">
        <v>49</v>
      </c>
      <c r="K28" s="1" t="s">
        <v>42</v>
      </c>
      <c r="L28" s="1" t="s">
        <v>39</v>
      </c>
      <c r="M28" s="1" t="s">
        <v>39</v>
      </c>
      <c r="N28" s="1" t="s">
        <v>43</v>
      </c>
    </row>
    <row r="29" spans="1:14" x14ac:dyDescent="0.25">
      <c r="A29" s="1" t="s">
        <v>83</v>
      </c>
      <c r="B29" s="1" t="s">
        <v>84</v>
      </c>
      <c r="C29" s="1" t="s">
        <v>84</v>
      </c>
      <c r="D29" s="1" t="s">
        <v>85</v>
      </c>
      <c r="E29" s="1" t="s">
        <v>38</v>
      </c>
      <c r="F29" s="1" t="s">
        <v>39</v>
      </c>
      <c r="G29" s="2">
        <v>-2000</v>
      </c>
      <c r="H29" s="2">
        <v>8381844.6399999997</v>
      </c>
      <c r="I29" s="1" t="s">
        <v>40</v>
      </c>
      <c r="J29" s="1" t="s">
        <v>49</v>
      </c>
      <c r="K29" s="1" t="s">
        <v>86</v>
      </c>
      <c r="L29" s="1" t="s">
        <v>39</v>
      </c>
      <c r="M29" s="1" t="s">
        <v>87</v>
      </c>
      <c r="N29" s="1" t="s">
        <v>43</v>
      </c>
    </row>
    <row r="30" spans="1:14" x14ac:dyDescent="0.25">
      <c r="A30" s="1" t="s">
        <v>88</v>
      </c>
      <c r="B30" s="1" t="s">
        <v>89</v>
      </c>
      <c r="C30" s="1" t="s">
        <v>89</v>
      </c>
      <c r="D30" s="1" t="s">
        <v>37</v>
      </c>
      <c r="E30" s="1" t="s">
        <v>38</v>
      </c>
      <c r="F30" s="1" t="s">
        <v>39</v>
      </c>
      <c r="G30" s="2">
        <v>-48</v>
      </c>
      <c r="H30" s="2">
        <v>8383844.6399999997</v>
      </c>
      <c r="I30" s="1" t="s">
        <v>40</v>
      </c>
      <c r="J30" s="1" t="s">
        <v>41</v>
      </c>
      <c r="K30" s="1" t="s">
        <v>42</v>
      </c>
      <c r="L30" s="1" t="s">
        <v>39</v>
      </c>
      <c r="M30" s="1" t="s">
        <v>39</v>
      </c>
      <c r="N30" s="1" t="s">
        <v>43</v>
      </c>
    </row>
    <row r="31" spans="1:14" x14ac:dyDescent="0.25">
      <c r="A31" s="1" t="s">
        <v>88</v>
      </c>
      <c r="B31" s="1" t="s">
        <v>89</v>
      </c>
      <c r="C31" s="1" t="s">
        <v>89</v>
      </c>
      <c r="D31" s="1" t="s">
        <v>90</v>
      </c>
      <c r="E31" s="1" t="s">
        <v>38</v>
      </c>
      <c r="F31" s="1" t="s">
        <v>39</v>
      </c>
      <c r="G31" s="2">
        <v>-6700</v>
      </c>
      <c r="H31" s="2">
        <v>8383892.6399999997</v>
      </c>
      <c r="I31" s="1" t="s">
        <v>40</v>
      </c>
      <c r="J31" s="1" t="s">
        <v>41</v>
      </c>
      <c r="K31" s="1" t="s">
        <v>82</v>
      </c>
      <c r="L31" s="1" t="s">
        <v>39</v>
      </c>
      <c r="M31" s="1" t="s">
        <v>39</v>
      </c>
      <c r="N31" s="1" t="s">
        <v>43</v>
      </c>
    </row>
    <row r="32" spans="1:14" x14ac:dyDescent="0.25">
      <c r="A32" s="1" t="s">
        <v>91</v>
      </c>
      <c r="B32" s="1" t="s">
        <v>92</v>
      </c>
      <c r="C32" s="1" t="s">
        <v>93</v>
      </c>
      <c r="D32" s="1" t="s">
        <v>94</v>
      </c>
      <c r="E32" s="1" t="s">
        <v>38</v>
      </c>
      <c r="F32" s="1" t="s">
        <v>39</v>
      </c>
      <c r="G32" s="2">
        <v>-8650</v>
      </c>
      <c r="H32" s="2">
        <v>8390592.6400000006</v>
      </c>
      <c r="I32" s="1" t="s">
        <v>40</v>
      </c>
      <c r="J32" s="1" t="s">
        <v>49</v>
      </c>
      <c r="K32" s="1" t="s">
        <v>95</v>
      </c>
      <c r="L32" s="1" t="s">
        <v>39</v>
      </c>
      <c r="M32" s="1" t="s">
        <v>96</v>
      </c>
      <c r="N32" s="1" t="s">
        <v>43</v>
      </c>
    </row>
    <row r="33" spans="1:14" x14ac:dyDescent="0.25">
      <c r="A33" s="1" t="s">
        <v>91</v>
      </c>
      <c r="B33" s="1" t="s">
        <v>92</v>
      </c>
      <c r="C33" s="1" t="s">
        <v>93</v>
      </c>
      <c r="D33" s="1" t="s">
        <v>48</v>
      </c>
      <c r="E33" s="1" t="s">
        <v>38</v>
      </c>
      <c r="F33" s="1" t="s">
        <v>39</v>
      </c>
      <c r="G33" s="2">
        <v>-54</v>
      </c>
      <c r="H33" s="2">
        <v>8399242.6400000006</v>
      </c>
      <c r="I33" s="1" t="s">
        <v>40</v>
      </c>
      <c r="J33" s="1" t="s">
        <v>49</v>
      </c>
      <c r="K33" s="1" t="s">
        <v>42</v>
      </c>
      <c r="L33" s="1" t="s">
        <v>39</v>
      </c>
      <c r="M33" s="1" t="s">
        <v>39</v>
      </c>
      <c r="N33" s="1" t="s">
        <v>43</v>
      </c>
    </row>
    <row r="34" spans="1:14" x14ac:dyDescent="0.25">
      <c r="A34" s="1" t="s">
        <v>97</v>
      </c>
      <c r="B34" s="1" t="s">
        <v>98</v>
      </c>
      <c r="C34" s="1" t="s">
        <v>98</v>
      </c>
      <c r="D34" s="1" t="s">
        <v>37</v>
      </c>
      <c r="E34" s="1" t="s">
        <v>38</v>
      </c>
      <c r="F34" s="1" t="s">
        <v>39</v>
      </c>
      <c r="G34" s="2">
        <v>-39</v>
      </c>
      <c r="H34" s="2">
        <v>8399296.6400000006</v>
      </c>
      <c r="I34" s="1" t="s">
        <v>40</v>
      </c>
      <c r="J34" s="1" t="s">
        <v>41</v>
      </c>
      <c r="K34" s="1" t="s">
        <v>42</v>
      </c>
      <c r="L34" s="1" t="s">
        <v>39</v>
      </c>
      <c r="M34" s="1" t="s">
        <v>39</v>
      </c>
      <c r="N34" s="1" t="s">
        <v>43</v>
      </c>
    </row>
    <row r="35" spans="1:14" x14ac:dyDescent="0.25">
      <c r="A35" s="1" t="s">
        <v>97</v>
      </c>
      <c r="B35" s="1" t="s">
        <v>98</v>
      </c>
      <c r="C35" s="1" t="s">
        <v>98</v>
      </c>
      <c r="D35" s="1" t="s">
        <v>99</v>
      </c>
      <c r="E35" s="1" t="s">
        <v>38</v>
      </c>
      <c r="F35" s="1" t="s">
        <v>39</v>
      </c>
      <c r="G35" s="2">
        <v>-3700</v>
      </c>
      <c r="H35" s="2">
        <v>8399335.6400000006</v>
      </c>
      <c r="I35" s="1" t="s">
        <v>40</v>
      </c>
      <c r="J35" s="1" t="s">
        <v>41</v>
      </c>
      <c r="K35" s="1" t="s">
        <v>100</v>
      </c>
      <c r="L35" s="1" t="s">
        <v>39</v>
      </c>
      <c r="M35" s="1" t="s">
        <v>39</v>
      </c>
      <c r="N35" s="1" t="s">
        <v>43</v>
      </c>
    </row>
    <row r="36" spans="1:14" x14ac:dyDescent="0.25">
      <c r="A36" s="1" t="s">
        <v>101</v>
      </c>
      <c r="B36" s="1" t="s">
        <v>102</v>
      </c>
      <c r="C36" s="1" t="s">
        <v>102</v>
      </c>
      <c r="D36" s="1" t="s">
        <v>37</v>
      </c>
      <c r="E36" s="1" t="s">
        <v>38</v>
      </c>
      <c r="F36" s="1" t="s">
        <v>39</v>
      </c>
      <c r="G36" s="2">
        <v>-48</v>
      </c>
      <c r="H36" s="2">
        <v>8403035.6400000006</v>
      </c>
      <c r="I36" s="1" t="s">
        <v>40</v>
      </c>
      <c r="J36" s="1" t="s">
        <v>41</v>
      </c>
      <c r="K36" s="1" t="s">
        <v>42</v>
      </c>
      <c r="L36" s="1" t="s">
        <v>39</v>
      </c>
      <c r="M36" s="1" t="s">
        <v>39</v>
      </c>
      <c r="N36" s="1" t="s">
        <v>43</v>
      </c>
    </row>
    <row r="37" spans="1:14" x14ac:dyDescent="0.25">
      <c r="A37" s="1" t="s">
        <v>101</v>
      </c>
      <c r="B37" s="1" t="s">
        <v>102</v>
      </c>
      <c r="C37" s="1" t="s">
        <v>102</v>
      </c>
      <c r="D37" s="1" t="s">
        <v>103</v>
      </c>
      <c r="E37" s="1" t="s">
        <v>38</v>
      </c>
      <c r="F37" s="1" t="s">
        <v>39</v>
      </c>
      <c r="G37" s="2">
        <v>-5750</v>
      </c>
      <c r="H37" s="2">
        <v>8403083.6400000006</v>
      </c>
      <c r="I37" s="1" t="s">
        <v>40</v>
      </c>
      <c r="J37" s="1" t="s">
        <v>41</v>
      </c>
      <c r="K37" s="1" t="s">
        <v>104</v>
      </c>
      <c r="L37" s="1" t="s">
        <v>39</v>
      </c>
      <c r="M37" s="1" t="s">
        <v>39</v>
      </c>
      <c r="N37" s="1" t="s">
        <v>43</v>
      </c>
    </row>
    <row r="38" spans="1:14" x14ac:dyDescent="0.25">
      <c r="A38" s="1" t="s">
        <v>105</v>
      </c>
      <c r="B38" s="1" t="s">
        <v>106</v>
      </c>
      <c r="C38" s="1" t="s">
        <v>106</v>
      </c>
      <c r="D38" s="1" t="s">
        <v>37</v>
      </c>
      <c r="E38" s="1" t="s">
        <v>38</v>
      </c>
      <c r="F38" s="1" t="s">
        <v>39</v>
      </c>
      <c r="G38" s="2">
        <v>-63</v>
      </c>
      <c r="H38" s="2">
        <v>8408833.6400000006</v>
      </c>
      <c r="I38" s="1" t="s">
        <v>40</v>
      </c>
      <c r="J38" s="1" t="s">
        <v>41</v>
      </c>
      <c r="K38" s="1" t="s">
        <v>42</v>
      </c>
      <c r="L38" s="1" t="s">
        <v>39</v>
      </c>
      <c r="M38" s="1" t="s">
        <v>39</v>
      </c>
      <c r="N38" s="1" t="s">
        <v>43</v>
      </c>
    </row>
    <row r="39" spans="1:14" x14ac:dyDescent="0.25">
      <c r="A39" s="1" t="s">
        <v>105</v>
      </c>
      <c r="B39" s="1" t="s">
        <v>106</v>
      </c>
      <c r="C39" s="1" t="s">
        <v>106</v>
      </c>
      <c r="D39" s="1" t="s">
        <v>107</v>
      </c>
      <c r="E39" s="1" t="s">
        <v>38</v>
      </c>
      <c r="F39" s="1" t="s">
        <v>39</v>
      </c>
      <c r="G39" s="2">
        <v>-12415</v>
      </c>
      <c r="H39" s="2">
        <v>8408896.6400000006</v>
      </c>
      <c r="I39" s="1" t="s">
        <v>40</v>
      </c>
      <c r="J39" s="1" t="s">
        <v>41</v>
      </c>
      <c r="K39" s="1" t="s">
        <v>108</v>
      </c>
      <c r="L39" s="1" t="s">
        <v>39</v>
      </c>
      <c r="M39" s="1" t="s">
        <v>39</v>
      </c>
      <c r="N39" s="1" t="s">
        <v>43</v>
      </c>
    </row>
    <row r="40" spans="1:14" x14ac:dyDescent="0.25">
      <c r="A40" s="1" t="s">
        <v>109</v>
      </c>
      <c r="B40" s="1" t="s">
        <v>110</v>
      </c>
      <c r="C40" s="1" t="s">
        <v>110</v>
      </c>
      <c r="D40" s="1" t="s">
        <v>37</v>
      </c>
      <c r="E40" s="1" t="s">
        <v>38</v>
      </c>
      <c r="F40" s="1" t="s">
        <v>39</v>
      </c>
      <c r="G40" s="2">
        <v>-63</v>
      </c>
      <c r="H40" s="2">
        <v>8421311.6400000006</v>
      </c>
      <c r="I40" s="1" t="s">
        <v>40</v>
      </c>
      <c r="J40" s="1" t="s">
        <v>41</v>
      </c>
      <c r="K40" s="1" t="s">
        <v>42</v>
      </c>
      <c r="L40" s="1" t="s">
        <v>39</v>
      </c>
      <c r="M40" s="1" t="s">
        <v>39</v>
      </c>
      <c r="N40" s="1" t="s">
        <v>43</v>
      </c>
    </row>
    <row r="41" spans="1:14" x14ac:dyDescent="0.25">
      <c r="A41" s="1" t="s">
        <v>109</v>
      </c>
      <c r="B41" s="1" t="s">
        <v>110</v>
      </c>
      <c r="C41" s="1" t="s">
        <v>110</v>
      </c>
      <c r="D41" s="1" t="s">
        <v>111</v>
      </c>
      <c r="E41" s="1" t="s">
        <v>38</v>
      </c>
      <c r="F41" s="1" t="s">
        <v>39</v>
      </c>
      <c r="G41" s="2">
        <v>-14400</v>
      </c>
      <c r="H41" s="2">
        <v>8421374.6400000006</v>
      </c>
      <c r="I41" s="1" t="s">
        <v>40</v>
      </c>
      <c r="J41" s="1" t="s">
        <v>41</v>
      </c>
      <c r="K41" s="1" t="s">
        <v>108</v>
      </c>
      <c r="L41" s="1" t="s">
        <v>39</v>
      </c>
      <c r="M41" s="1" t="s">
        <v>39</v>
      </c>
      <c r="N41" s="1" t="s">
        <v>43</v>
      </c>
    </row>
    <row r="42" spans="1:14" x14ac:dyDescent="0.25">
      <c r="A42" s="1" t="s">
        <v>112</v>
      </c>
      <c r="B42" s="1" t="s">
        <v>113</v>
      </c>
      <c r="C42" s="1" t="s">
        <v>113</v>
      </c>
      <c r="D42" s="1" t="s">
        <v>37</v>
      </c>
      <c r="E42" s="1" t="s">
        <v>38</v>
      </c>
      <c r="F42" s="1" t="s">
        <v>39</v>
      </c>
      <c r="G42" s="2">
        <v>-8</v>
      </c>
      <c r="H42" s="2">
        <v>8435774.6400000006</v>
      </c>
      <c r="I42" s="1" t="s">
        <v>40</v>
      </c>
      <c r="J42" s="1" t="s">
        <v>41</v>
      </c>
      <c r="K42" s="1" t="s">
        <v>42</v>
      </c>
      <c r="L42" s="1" t="s">
        <v>39</v>
      </c>
      <c r="M42" s="1" t="s">
        <v>39</v>
      </c>
      <c r="N42" s="1" t="s">
        <v>43</v>
      </c>
    </row>
    <row r="43" spans="1:14" x14ac:dyDescent="0.25">
      <c r="A43" s="1" t="s">
        <v>112</v>
      </c>
      <c r="B43" s="1" t="s">
        <v>113</v>
      </c>
      <c r="C43" s="1" t="s">
        <v>113</v>
      </c>
      <c r="D43" s="1" t="s">
        <v>114</v>
      </c>
      <c r="E43" s="1" t="s">
        <v>38</v>
      </c>
      <c r="F43" s="1" t="s">
        <v>39</v>
      </c>
      <c r="G43" s="2">
        <v>-300</v>
      </c>
      <c r="H43" s="2">
        <v>8435782.6400000006</v>
      </c>
      <c r="I43" s="1" t="s">
        <v>40</v>
      </c>
      <c r="J43" s="1" t="s">
        <v>41</v>
      </c>
      <c r="K43" s="1" t="s">
        <v>115</v>
      </c>
      <c r="L43" s="1" t="s">
        <v>39</v>
      </c>
      <c r="M43" s="1" t="s">
        <v>39</v>
      </c>
      <c r="N43" s="1" t="s">
        <v>43</v>
      </c>
    </row>
    <row r="44" spans="1:14" x14ac:dyDescent="0.25">
      <c r="A44" s="1" t="s">
        <v>116</v>
      </c>
      <c r="B44" s="1" t="s">
        <v>117</v>
      </c>
      <c r="C44" s="1" t="s">
        <v>118</v>
      </c>
      <c r="D44" s="1" t="s">
        <v>37</v>
      </c>
      <c r="E44" s="1" t="s">
        <v>38</v>
      </c>
      <c r="F44" s="1" t="s">
        <v>39</v>
      </c>
      <c r="G44" s="2">
        <v>-63</v>
      </c>
      <c r="H44" s="2">
        <v>8436082.6400000006</v>
      </c>
      <c r="I44" s="1" t="s">
        <v>40</v>
      </c>
      <c r="J44" s="1" t="s">
        <v>41</v>
      </c>
      <c r="K44" s="1" t="s">
        <v>42</v>
      </c>
      <c r="L44" s="1" t="s">
        <v>39</v>
      </c>
      <c r="M44" s="1" t="s">
        <v>39</v>
      </c>
      <c r="N44" s="1" t="s">
        <v>43</v>
      </c>
    </row>
    <row r="45" spans="1:14" x14ac:dyDescent="0.25">
      <c r="A45" s="1" t="s">
        <v>116</v>
      </c>
      <c r="B45" s="1" t="s">
        <v>117</v>
      </c>
      <c r="C45" s="1" t="s">
        <v>118</v>
      </c>
      <c r="D45" s="1" t="s">
        <v>119</v>
      </c>
      <c r="E45" s="1" t="s">
        <v>38</v>
      </c>
      <c r="F45" s="1" t="s">
        <v>39</v>
      </c>
      <c r="G45" s="2">
        <v>-11000</v>
      </c>
      <c r="H45" s="2">
        <v>8436145.6400000006</v>
      </c>
      <c r="I45" s="1" t="s">
        <v>40</v>
      </c>
      <c r="J45" s="1" t="s">
        <v>41</v>
      </c>
      <c r="K45" s="1" t="s">
        <v>108</v>
      </c>
      <c r="L45" s="1" t="s">
        <v>39</v>
      </c>
      <c r="M45" s="1" t="s">
        <v>39</v>
      </c>
      <c r="N45" s="1" t="s">
        <v>43</v>
      </c>
    </row>
    <row r="46" spans="1:14" x14ac:dyDescent="0.25">
      <c r="A46" s="1" t="s">
        <v>120</v>
      </c>
      <c r="B46" s="1" t="s">
        <v>121</v>
      </c>
      <c r="C46" s="1" t="s">
        <v>122</v>
      </c>
      <c r="D46" s="1" t="s">
        <v>37</v>
      </c>
      <c r="E46" s="1" t="s">
        <v>38</v>
      </c>
      <c r="F46" s="1" t="s">
        <v>39</v>
      </c>
      <c r="G46" s="2">
        <v>-48</v>
      </c>
      <c r="H46" s="2">
        <v>8447145.6400000006</v>
      </c>
      <c r="I46" s="1" t="s">
        <v>40</v>
      </c>
      <c r="J46" s="1" t="s">
        <v>41</v>
      </c>
      <c r="K46" s="1" t="s">
        <v>42</v>
      </c>
      <c r="L46" s="1" t="s">
        <v>39</v>
      </c>
      <c r="M46" s="1" t="s">
        <v>39</v>
      </c>
      <c r="N46" s="1" t="s">
        <v>43</v>
      </c>
    </row>
    <row r="47" spans="1:14" x14ac:dyDescent="0.25">
      <c r="A47" s="1" t="s">
        <v>120</v>
      </c>
      <c r="B47" s="1" t="s">
        <v>121</v>
      </c>
      <c r="C47" s="1" t="s">
        <v>122</v>
      </c>
      <c r="D47" s="1" t="s">
        <v>123</v>
      </c>
      <c r="E47" s="1" t="s">
        <v>38</v>
      </c>
      <c r="F47" s="1" t="s">
        <v>39</v>
      </c>
      <c r="G47" s="2">
        <v>-6300</v>
      </c>
      <c r="H47" s="2">
        <v>8447193.6400000006</v>
      </c>
      <c r="I47" s="1" t="s">
        <v>40</v>
      </c>
      <c r="J47" s="1" t="s">
        <v>41</v>
      </c>
      <c r="K47" s="1" t="s">
        <v>104</v>
      </c>
      <c r="L47" s="1" t="s">
        <v>39</v>
      </c>
      <c r="M47" s="1" t="s">
        <v>39</v>
      </c>
      <c r="N47" s="1" t="s">
        <v>43</v>
      </c>
    </row>
    <row r="48" spans="1:14" x14ac:dyDescent="0.25">
      <c r="A48" s="1" t="s">
        <v>124</v>
      </c>
      <c r="B48" s="1" t="s">
        <v>125</v>
      </c>
      <c r="C48" s="1" t="s">
        <v>125</v>
      </c>
      <c r="D48" s="1" t="s">
        <v>37</v>
      </c>
      <c r="E48" s="1" t="s">
        <v>38</v>
      </c>
      <c r="F48" s="1" t="s">
        <v>39</v>
      </c>
      <c r="G48" s="2">
        <v>-48</v>
      </c>
      <c r="H48" s="2">
        <v>8453493.6400000006</v>
      </c>
      <c r="I48" s="1" t="s">
        <v>40</v>
      </c>
      <c r="J48" s="1" t="s">
        <v>41</v>
      </c>
      <c r="K48" s="1" t="s">
        <v>42</v>
      </c>
      <c r="L48" s="1" t="s">
        <v>39</v>
      </c>
      <c r="M48" s="1" t="s">
        <v>39</v>
      </c>
      <c r="N48" s="1" t="s">
        <v>43</v>
      </c>
    </row>
    <row r="49" spans="1:14" x14ac:dyDescent="0.25">
      <c r="A49" s="1" t="s">
        <v>124</v>
      </c>
      <c r="B49" s="1" t="s">
        <v>125</v>
      </c>
      <c r="C49" s="1" t="s">
        <v>125</v>
      </c>
      <c r="D49" s="1" t="s">
        <v>126</v>
      </c>
      <c r="E49" s="1" t="s">
        <v>38</v>
      </c>
      <c r="F49" s="1" t="s">
        <v>39</v>
      </c>
      <c r="G49" s="2">
        <v>-5150</v>
      </c>
      <c r="H49" s="2">
        <v>8453541.6400000006</v>
      </c>
      <c r="I49" s="1" t="s">
        <v>40</v>
      </c>
      <c r="J49" s="1" t="s">
        <v>41</v>
      </c>
      <c r="K49" s="1" t="s">
        <v>82</v>
      </c>
      <c r="L49" s="1" t="s">
        <v>39</v>
      </c>
      <c r="M49" s="1" t="s">
        <v>39</v>
      </c>
      <c r="N49" s="1" t="s">
        <v>43</v>
      </c>
    </row>
    <row r="50" spans="1:14" x14ac:dyDescent="0.25">
      <c r="A50" s="1" t="s">
        <v>127</v>
      </c>
      <c r="B50" s="1" t="s">
        <v>128</v>
      </c>
      <c r="C50" s="1" t="s">
        <v>128</v>
      </c>
      <c r="D50" s="1" t="s">
        <v>37</v>
      </c>
      <c r="E50" s="1" t="s">
        <v>38</v>
      </c>
      <c r="F50" s="1" t="s">
        <v>39</v>
      </c>
      <c r="G50" s="2">
        <v>-63</v>
      </c>
      <c r="H50" s="2">
        <v>8458691.6400000006</v>
      </c>
      <c r="I50" s="1" t="s">
        <v>40</v>
      </c>
      <c r="J50" s="1" t="s">
        <v>41</v>
      </c>
      <c r="K50" s="1" t="s">
        <v>42</v>
      </c>
      <c r="L50" s="1" t="s">
        <v>39</v>
      </c>
      <c r="M50" s="1" t="s">
        <v>39</v>
      </c>
      <c r="N50" s="1" t="s">
        <v>43</v>
      </c>
    </row>
    <row r="51" spans="1:14" x14ac:dyDescent="0.25">
      <c r="A51" s="1" t="s">
        <v>127</v>
      </c>
      <c r="B51" s="1" t="s">
        <v>128</v>
      </c>
      <c r="C51" s="1" t="s">
        <v>128</v>
      </c>
      <c r="D51" s="1" t="s">
        <v>129</v>
      </c>
      <c r="E51" s="1" t="s">
        <v>38</v>
      </c>
      <c r="F51" s="1" t="s">
        <v>39</v>
      </c>
      <c r="G51" s="2">
        <v>-12000</v>
      </c>
      <c r="H51" s="2">
        <v>8458754.6400000006</v>
      </c>
      <c r="I51" s="1" t="s">
        <v>40</v>
      </c>
      <c r="J51" s="1" t="s">
        <v>41</v>
      </c>
      <c r="K51" s="1" t="s">
        <v>130</v>
      </c>
      <c r="L51" s="1" t="s">
        <v>39</v>
      </c>
      <c r="M51" s="1" t="s">
        <v>39</v>
      </c>
      <c r="N51" s="1" t="s">
        <v>43</v>
      </c>
    </row>
    <row r="52" spans="1:14" x14ac:dyDescent="0.25">
      <c r="A52" s="1" t="s">
        <v>131</v>
      </c>
      <c r="B52" s="1" t="s">
        <v>132</v>
      </c>
      <c r="C52" s="1" t="s">
        <v>132</v>
      </c>
      <c r="D52" s="1" t="s">
        <v>37</v>
      </c>
      <c r="E52" s="1" t="s">
        <v>38</v>
      </c>
      <c r="F52" s="1" t="s">
        <v>39</v>
      </c>
      <c r="G52" s="2">
        <v>-54</v>
      </c>
      <c r="H52" s="2">
        <v>8470754.6400000006</v>
      </c>
      <c r="I52" s="1" t="s">
        <v>40</v>
      </c>
      <c r="J52" s="1" t="s">
        <v>41</v>
      </c>
      <c r="K52" s="1" t="s">
        <v>42</v>
      </c>
      <c r="L52" s="1" t="s">
        <v>39</v>
      </c>
      <c r="M52" s="1" t="s">
        <v>39</v>
      </c>
      <c r="N52" s="1" t="s">
        <v>43</v>
      </c>
    </row>
    <row r="53" spans="1:14" x14ac:dyDescent="0.25">
      <c r="A53" s="1" t="s">
        <v>131</v>
      </c>
      <c r="B53" s="1" t="s">
        <v>132</v>
      </c>
      <c r="C53" s="1" t="s">
        <v>132</v>
      </c>
      <c r="D53" s="1" t="s">
        <v>133</v>
      </c>
      <c r="E53" s="1" t="s">
        <v>38</v>
      </c>
      <c r="F53" s="1" t="s">
        <v>39</v>
      </c>
      <c r="G53" s="2">
        <v>-7900</v>
      </c>
      <c r="H53" s="2">
        <v>8470808.6400000006</v>
      </c>
      <c r="I53" s="1" t="s">
        <v>40</v>
      </c>
      <c r="J53" s="1" t="s">
        <v>41</v>
      </c>
      <c r="K53" s="1" t="s">
        <v>82</v>
      </c>
      <c r="L53" s="1" t="s">
        <v>39</v>
      </c>
      <c r="M53" s="1" t="s">
        <v>39</v>
      </c>
      <c r="N53" s="1" t="s">
        <v>43</v>
      </c>
    </row>
    <row r="54" spans="1:14" x14ac:dyDescent="0.25">
      <c r="A54" s="1" t="s">
        <v>134</v>
      </c>
      <c r="B54" s="1" t="s">
        <v>135</v>
      </c>
      <c r="C54" s="1" t="s">
        <v>135</v>
      </c>
      <c r="D54" s="1" t="s">
        <v>37</v>
      </c>
      <c r="E54" s="1" t="s">
        <v>38</v>
      </c>
      <c r="F54" s="1" t="s">
        <v>39</v>
      </c>
      <c r="G54" s="2">
        <v>-48</v>
      </c>
      <c r="H54" s="2">
        <v>8478708.6400000006</v>
      </c>
      <c r="I54" s="1" t="s">
        <v>40</v>
      </c>
      <c r="J54" s="1" t="s">
        <v>41</v>
      </c>
      <c r="K54" s="1" t="s">
        <v>42</v>
      </c>
      <c r="L54" s="1" t="s">
        <v>39</v>
      </c>
      <c r="M54" s="1" t="s">
        <v>39</v>
      </c>
      <c r="N54" s="1" t="s">
        <v>43</v>
      </c>
    </row>
    <row r="55" spans="1:14" x14ac:dyDescent="0.25">
      <c r="A55" s="1" t="s">
        <v>134</v>
      </c>
      <c r="B55" s="1" t="s">
        <v>135</v>
      </c>
      <c r="C55" s="1" t="s">
        <v>135</v>
      </c>
      <c r="D55" s="1" t="s">
        <v>136</v>
      </c>
      <c r="E55" s="1" t="s">
        <v>38</v>
      </c>
      <c r="F55" s="1" t="s">
        <v>39</v>
      </c>
      <c r="G55" s="2">
        <v>-5400</v>
      </c>
      <c r="H55" s="2">
        <v>8478756.6400000006</v>
      </c>
      <c r="I55" s="1" t="s">
        <v>40</v>
      </c>
      <c r="J55" s="1" t="s">
        <v>41</v>
      </c>
      <c r="K55" s="1" t="s">
        <v>82</v>
      </c>
      <c r="L55" s="1" t="s">
        <v>39</v>
      </c>
      <c r="M55" s="1" t="s">
        <v>39</v>
      </c>
      <c r="N55" s="1" t="s">
        <v>43</v>
      </c>
    </row>
    <row r="56" spans="1:14" x14ac:dyDescent="0.25">
      <c r="A56" s="1" t="s">
        <v>137</v>
      </c>
      <c r="B56" s="1" t="s">
        <v>138</v>
      </c>
      <c r="C56" s="1" t="s">
        <v>138</v>
      </c>
      <c r="D56" s="1" t="s">
        <v>37</v>
      </c>
      <c r="E56" s="1" t="s">
        <v>38</v>
      </c>
      <c r="F56" s="1" t="s">
        <v>39</v>
      </c>
      <c r="G56" s="2">
        <v>-30</v>
      </c>
      <c r="H56" s="2">
        <v>8484156.6400000006</v>
      </c>
      <c r="I56" s="1" t="s">
        <v>40</v>
      </c>
      <c r="J56" s="1" t="s">
        <v>41</v>
      </c>
      <c r="K56" s="1" t="s">
        <v>42</v>
      </c>
      <c r="L56" s="1" t="s">
        <v>39</v>
      </c>
      <c r="M56" s="1" t="s">
        <v>39</v>
      </c>
      <c r="N56" s="1" t="s">
        <v>43</v>
      </c>
    </row>
    <row r="57" spans="1:14" x14ac:dyDescent="0.25">
      <c r="A57" s="1" t="s">
        <v>137</v>
      </c>
      <c r="B57" s="1" t="s">
        <v>138</v>
      </c>
      <c r="C57" s="1" t="s">
        <v>138</v>
      </c>
      <c r="D57" s="1" t="s">
        <v>139</v>
      </c>
      <c r="E57" s="1" t="s">
        <v>38</v>
      </c>
      <c r="F57" s="1" t="s">
        <v>39</v>
      </c>
      <c r="G57" s="2">
        <v>-3350</v>
      </c>
      <c r="H57" s="2">
        <v>8484186.6400000006</v>
      </c>
      <c r="I57" s="1" t="s">
        <v>40</v>
      </c>
      <c r="J57" s="1" t="s">
        <v>41</v>
      </c>
      <c r="K57" s="1" t="s">
        <v>82</v>
      </c>
      <c r="L57" s="1" t="s">
        <v>39</v>
      </c>
      <c r="M57" s="1" t="s">
        <v>39</v>
      </c>
      <c r="N57" s="1" t="s">
        <v>43</v>
      </c>
    </row>
    <row r="58" spans="1:14" x14ac:dyDescent="0.25">
      <c r="A58" s="1" t="s">
        <v>140</v>
      </c>
      <c r="B58" s="1" t="s">
        <v>141</v>
      </c>
      <c r="C58" s="1" t="s">
        <v>141</v>
      </c>
      <c r="D58" s="1" t="s">
        <v>48</v>
      </c>
      <c r="E58" s="1" t="s">
        <v>38</v>
      </c>
      <c r="F58" s="1" t="s">
        <v>39</v>
      </c>
      <c r="G58" s="2">
        <v>-25</v>
      </c>
      <c r="H58" s="2">
        <v>8487536.6400000006</v>
      </c>
      <c r="I58" s="1" t="s">
        <v>40</v>
      </c>
      <c r="J58" s="1" t="s">
        <v>49</v>
      </c>
      <c r="K58" s="1" t="s">
        <v>42</v>
      </c>
      <c r="L58" s="1" t="s">
        <v>39</v>
      </c>
      <c r="M58" s="1" t="s">
        <v>39</v>
      </c>
      <c r="N58" s="1" t="s">
        <v>43</v>
      </c>
    </row>
    <row r="59" spans="1:14" x14ac:dyDescent="0.25">
      <c r="A59" s="1" t="s">
        <v>140</v>
      </c>
      <c r="B59" s="1" t="s">
        <v>141</v>
      </c>
      <c r="C59" s="1" t="s">
        <v>141</v>
      </c>
      <c r="D59" s="1" t="s">
        <v>142</v>
      </c>
      <c r="E59" s="1" t="s">
        <v>38</v>
      </c>
      <c r="F59" s="1" t="s">
        <v>39</v>
      </c>
      <c r="G59" s="2">
        <v>-1700</v>
      </c>
      <c r="H59" s="2">
        <v>8487561.6400000006</v>
      </c>
      <c r="I59" s="1" t="s">
        <v>40</v>
      </c>
      <c r="J59" s="1" t="s">
        <v>49</v>
      </c>
      <c r="K59" s="1" t="s">
        <v>143</v>
      </c>
      <c r="L59" s="1" t="s">
        <v>39</v>
      </c>
      <c r="M59" s="1" t="s">
        <v>144</v>
      </c>
      <c r="N59" s="1" t="s">
        <v>43</v>
      </c>
    </row>
    <row r="60" spans="1:14" x14ac:dyDescent="0.25">
      <c r="A60" s="1" t="s">
        <v>145</v>
      </c>
      <c r="B60" s="1" t="s">
        <v>146</v>
      </c>
      <c r="C60" s="1" t="s">
        <v>146</v>
      </c>
      <c r="D60" s="1" t="s">
        <v>48</v>
      </c>
      <c r="E60" s="1" t="s">
        <v>38</v>
      </c>
      <c r="F60" s="1" t="s">
        <v>39</v>
      </c>
      <c r="G60" s="2">
        <v>-79</v>
      </c>
      <c r="H60" s="2">
        <v>8489261.6400000006</v>
      </c>
      <c r="I60" s="1" t="s">
        <v>40</v>
      </c>
      <c r="J60" s="1" t="s">
        <v>49</v>
      </c>
      <c r="K60" s="1" t="s">
        <v>42</v>
      </c>
      <c r="L60" s="1" t="s">
        <v>39</v>
      </c>
      <c r="M60" s="1" t="s">
        <v>39</v>
      </c>
      <c r="N60" s="1" t="s">
        <v>43</v>
      </c>
    </row>
    <row r="61" spans="1:14" x14ac:dyDescent="0.25">
      <c r="A61" s="1" t="s">
        <v>145</v>
      </c>
      <c r="B61" s="1" t="s">
        <v>146</v>
      </c>
      <c r="C61" s="1" t="s">
        <v>146</v>
      </c>
      <c r="D61" s="1" t="s">
        <v>147</v>
      </c>
      <c r="E61" s="1" t="s">
        <v>38</v>
      </c>
      <c r="F61" s="1" t="s">
        <v>39</v>
      </c>
      <c r="G61" s="2">
        <v>-27800</v>
      </c>
      <c r="H61" s="2">
        <v>8489340.6400000006</v>
      </c>
      <c r="I61" s="1" t="s">
        <v>40</v>
      </c>
      <c r="J61" s="1" t="s">
        <v>49</v>
      </c>
      <c r="K61" s="1" t="s">
        <v>143</v>
      </c>
      <c r="L61" s="1" t="s">
        <v>39</v>
      </c>
      <c r="M61" s="1" t="s">
        <v>148</v>
      </c>
      <c r="N61" s="1" t="s">
        <v>43</v>
      </c>
    </row>
    <row r="62" spans="1:14" x14ac:dyDescent="0.25">
      <c r="A62" s="1" t="s">
        <v>149</v>
      </c>
      <c r="B62" s="1" t="s">
        <v>150</v>
      </c>
      <c r="C62" s="1" t="s">
        <v>150</v>
      </c>
      <c r="D62" s="1" t="s">
        <v>48</v>
      </c>
      <c r="E62" s="1" t="s">
        <v>38</v>
      </c>
      <c r="F62" s="1" t="s">
        <v>39</v>
      </c>
      <c r="G62" s="2">
        <v>-63</v>
      </c>
      <c r="H62" s="2">
        <v>8517140.6400000006</v>
      </c>
      <c r="I62" s="1" t="s">
        <v>40</v>
      </c>
      <c r="J62" s="1" t="s">
        <v>49</v>
      </c>
      <c r="K62" s="1" t="s">
        <v>42</v>
      </c>
      <c r="L62" s="1" t="s">
        <v>39</v>
      </c>
      <c r="M62" s="1" t="s">
        <v>39</v>
      </c>
      <c r="N62" s="1" t="s">
        <v>43</v>
      </c>
    </row>
    <row r="63" spans="1:14" x14ac:dyDescent="0.25">
      <c r="A63" s="1" t="s">
        <v>149</v>
      </c>
      <c r="B63" s="1" t="s">
        <v>150</v>
      </c>
      <c r="C63" s="1" t="s">
        <v>150</v>
      </c>
      <c r="D63" s="1" t="s">
        <v>151</v>
      </c>
      <c r="E63" s="1" t="s">
        <v>38</v>
      </c>
      <c r="F63" s="1" t="s">
        <v>39</v>
      </c>
      <c r="G63" s="2">
        <v>-10200</v>
      </c>
      <c r="H63" s="2">
        <v>8517203.6400000006</v>
      </c>
      <c r="I63" s="1" t="s">
        <v>40</v>
      </c>
      <c r="J63" s="1" t="s">
        <v>49</v>
      </c>
      <c r="K63" s="1" t="s">
        <v>143</v>
      </c>
      <c r="L63" s="1" t="s">
        <v>39</v>
      </c>
      <c r="M63" s="1" t="s">
        <v>152</v>
      </c>
      <c r="N63" s="1" t="s">
        <v>43</v>
      </c>
    </row>
    <row r="64" spans="1:14" x14ac:dyDescent="0.25">
      <c r="A64" s="1" t="s">
        <v>153</v>
      </c>
      <c r="B64" s="1" t="s">
        <v>154</v>
      </c>
      <c r="C64" s="1" t="s">
        <v>154</v>
      </c>
      <c r="D64" s="1" t="s">
        <v>155</v>
      </c>
      <c r="E64" s="1" t="s">
        <v>38</v>
      </c>
      <c r="F64" s="2">
        <v>5000000</v>
      </c>
      <c r="G64" s="1" t="s">
        <v>39</v>
      </c>
      <c r="H64" s="2">
        <v>8527403.6400000006</v>
      </c>
      <c r="I64" s="1" t="s">
        <v>40</v>
      </c>
      <c r="J64" s="1" t="s">
        <v>156</v>
      </c>
      <c r="K64" s="1" t="s">
        <v>157</v>
      </c>
      <c r="L64" s="1" t="s">
        <v>39</v>
      </c>
      <c r="M64" s="1" t="s">
        <v>39</v>
      </c>
      <c r="N64" s="1" t="s">
        <v>43</v>
      </c>
    </row>
    <row r="65" spans="1:14" x14ac:dyDescent="0.25">
      <c r="A65" s="1" t="s">
        <v>158</v>
      </c>
      <c r="B65" s="1" t="s">
        <v>159</v>
      </c>
      <c r="C65" s="1" t="s">
        <v>160</v>
      </c>
      <c r="D65" s="1" t="s">
        <v>161</v>
      </c>
      <c r="E65" s="1" t="s">
        <v>38</v>
      </c>
      <c r="F65" s="1" t="s">
        <v>39</v>
      </c>
      <c r="G65" s="2">
        <v>-4810</v>
      </c>
      <c r="H65" s="2">
        <v>3527403.64</v>
      </c>
      <c r="I65" s="1" t="s">
        <v>40</v>
      </c>
      <c r="J65" s="1" t="s">
        <v>49</v>
      </c>
      <c r="K65" s="1" t="s">
        <v>162</v>
      </c>
      <c r="L65" s="1" t="s">
        <v>39</v>
      </c>
      <c r="M65" s="1" t="s">
        <v>163</v>
      </c>
      <c r="N65" s="1" t="s">
        <v>43</v>
      </c>
    </row>
    <row r="66" spans="1:14" x14ac:dyDescent="0.25">
      <c r="A66" s="1" t="s">
        <v>158</v>
      </c>
      <c r="B66" s="1" t="s">
        <v>159</v>
      </c>
      <c r="C66" s="1" t="s">
        <v>160</v>
      </c>
      <c r="D66" s="1" t="s">
        <v>48</v>
      </c>
      <c r="E66" s="1" t="s">
        <v>38</v>
      </c>
      <c r="F66" s="1" t="s">
        <v>39</v>
      </c>
      <c r="G66" s="2">
        <v>-39</v>
      </c>
      <c r="H66" s="2">
        <v>3532213.64</v>
      </c>
      <c r="I66" s="1" t="s">
        <v>40</v>
      </c>
      <c r="J66" s="1" t="s">
        <v>49</v>
      </c>
      <c r="K66" s="1" t="s">
        <v>42</v>
      </c>
      <c r="L66" s="1" t="s">
        <v>39</v>
      </c>
      <c r="M66" s="1" t="s">
        <v>39</v>
      </c>
      <c r="N66" s="1" t="s">
        <v>43</v>
      </c>
    </row>
    <row r="67" spans="1:14" x14ac:dyDescent="0.25">
      <c r="A67" s="1" t="s">
        <v>164</v>
      </c>
      <c r="B67" s="1" t="s">
        <v>165</v>
      </c>
      <c r="C67" s="1" t="s">
        <v>165</v>
      </c>
      <c r="D67" s="1" t="s">
        <v>37</v>
      </c>
      <c r="E67" s="1" t="s">
        <v>38</v>
      </c>
      <c r="F67" s="1" t="s">
        <v>39</v>
      </c>
      <c r="G67" s="2">
        <v>-3</v>
      </c>
      <c r="H67" s="2">
        <v>3532252.64</v>
      </c>
      <c r="I67" s="1" t="s">
        <v>40</v>
      </c>
      <c r="J67" s="1" t="s">
        <v>41</v>
      </c>
      <c r="K67" s="1" t="s">
        <v>42</v>
      </c>
      <c r="L67" s="1" t="s">
        <v>39</v>
      </c>
      <c r="M67" s="1" t="s">
        <v>39</v>
      </c>
      <c r="N67" s="1" t="s">
        <v>43</v>
      </c>
    </row>
    <row r="68" spans="1:14" x14ac:dyDescent="0.25">
      <c r="A68" s="1" t="s">
        <v>164</v>
      </c>
      <c r="B68" s="1" t="s">
        <v>165</v>
      </c>
      <c r="C68" s="1" t="s">
        <v>165</v>
      </c>
      <c r="D68" s="1" t="s">
        <v>166</v>
      </c>
      <c r="E68" s="1" t="s">
        <v>38</v>
      </c>
      <c r="F68" s="1" t="s">
        <v>39</v>
      </c>
      <c r="G68" s="2">
        <v>-50</v>
      </c>
      <c r="H68" s="2">
        <v>3532255.64</v>
      </c>
      <c r="I68" s="1" t="s">
        <v>40</v>
      </c>
      <c r="J68" s="1" t="s">
        <v>41</v>
      </c>
      <c r="K68" s="1" t="s">
        <v>167</v>
      </c>
      <c r="L68" s="1" t="s">
        <v>39</v>
      </c>
      <c r="M68" s="1" t="s">
        <v>39</v>
      </c>
      <c r="N68" s="1" t="s">
        <v>43</v>
      </c>
    </row>
    <row r="69" spans="1:14" x14ac:dyDescent="0.25">
      <c r="A69" s="1" t="s">
        <v>168</v>
      </c>
      <c r="B69" s="1" t="s">
        <v>169</v>
      </c>
      <c r="C69" s="1" t="s">
        <v>169</v>
      </c>
      <c r="D69" s="1" t="s">
        <v>37</v>
      </c>
      <c r="E69" s="1" t="s">
        <v>38</v>
      </c>
      <c r="F69" s="1" t="s">
        <v>39</v>
      </c>
      <c r="G69" s="2">
        <v>-48</v>
      </c>
      <c r="H69" s="2">
        <v>3532305.64</v>
      </c>
      <c r="I69" s="1" t="s">
        <v>40</v>
      </c>
      <c r="J69" s="1" t="s">
        <v>41</v>
      </c>
      <c r="K69" s="1" t="s">
        <v>42</v>
      </c>
      <c r="L69" s="1" t="s">
        <v>39</v>
      </c>
      <c r="M69" s="1" t="s">
        <v>39</v>
      </c>
      <c r="N69" s="1" t="s">
        <v>43</v>
      </c>
    </row>
    <row r="70" spans="1:14" x14ac:dyDescent="0.25">
      <c r="A70" s="1" t="s">
        <v>168</v>
      </c>
      <c r="B70" s="1" t="s">
        <v>169</v>
      </c>
      <c r="C70" s="1" t="s">
        <v>169</v>
      </c>
      <c r="D70" s="1" t="s">
        <v>170</v>
      </c>
      <c r="E70" s="1" t="s">
        <v>38</v>
      </c>
      <c r="F70" s="1" t="s">
        <v>39</v>
      </c>
      <c r="G70" s="2">
        <v>-6300</v>
      </c>
      <c r="H70" s="2">
        <v>3532353.64</v>
      </c>
      <c r="I70" s="1" t="s">
        <v>40</v>
      </c>
      <c r="J70" s="1" t="s">
        <v>41</v>
      </c>
      <c r="K70" s="1" t="s">
        <v>104</v>
      </c>
      <c r="L70" s="1" t="s">
        <v>39</v>
      </c>
      <c r="M70" s="1" t="s">
        <v>39</v>
      </c>
      <c r="N70" s="1" t="s">
        <v>43</v>
      </c>
    </row>
    <row r="71" spans="1:14" x14ac:dyDescent="0.25">
      <c r="A71" s="1" t="s">
        <v>171</v>
      </c>
      <c r="B71" s="1" t="s">
        <v>172</v>
      </c>
      <c r="C71" s="1" t="s">
        <v>173</v>
      </c>
      <c r="D71" s="1" t="s">
        <v>48</v>
      </c>
      <c r="E71" s="1" t="s">
        <v>38</v>
      </c>
      <c r="F71" s="1" t="s">
        <v>39</v>
      </c>
      <c r="G71" s="2">
        <v>-48</v>
      </c>
      <c r="H71" s="2">
        <v>3538653.64</v>
      </c>
      <c r="I71" s="1" t="s">
        <v>40</v>
      </c>
      <c r="J71" s="1" t="s">
        <v>49</v>
      </c>
      <c r="K71" s="1" t="s">
        <v>42</v>
      </c>
      <c r="L71" s="1" t="s">
        <v>39</v>
      </c>
      <c r="M71" s="1" t="s">
        <v>39</v>
      </c>
      <c r="N71" s="1" t="s">
        <v>43</v>
      </c>
    </row>
    <row r="72" spans="1:14" x14ac:dyDescent="0.25">
      <c r="A72" s="1" t="s">
        <v>171</v>
      </c>
      <c r="B72" s="1" t="s">
        <v>172</v>
      </c>
      <c r="C72" s="1" t="s">
        <v>173</v>
      </c>
      <c r="D72" s="1" t="s">
        <v>174</v>
      </c>
      <c r="E72" s="1" t="s">
        <v>38</v>
      </c>
      <c r="F72" s="1" t="s">
        <v>39</v>
      </c>
      <c r="G72" s="2">
        <v>-6000</v>
      </c>
      <c r="H72" s="2">
        <v>3538701.64</v>
      </c>
      <c r="I72" s="1" t="s">
        <v>40</v>
      </c>
      <c r="J72" s="1" t="s">
        <v>49</v>
      </c>
      <c r="K72" s="1" t="s">
        <v>175</v>
      </c>
      <c r="L72" s="1" t="s">
        <v>39</v>
      </c>
      <c r="M72" s="1" t="s">
        <v>176</v>
      </c>
      <c r="N72" s="1" t="s">
        <v>43</v>
      </c>
    </row>
    <row r="73" spans="1:14" x14ac:dyDescent="0.25">
      <c r="A73" s="1" t="s">
        <v>177</v>
      </c>
      <c r="B73" s="1" t="s">
        <v>178</v>
      </c>
      <c r="C73" s="1" t="s">
        <v>179</v>
      </c>
      <c r="D73" s="1" t="s">
        <v>37</v>
      </c>
      <c r="E73" s="1" t="s">
        <v>38</v>
      </c>
      <c r="F73" s="1" t="s">
        <v>39</v>
      </c>
      <c r="G73" s="2">
        <v>-8</v>
      </c>
      <c r="H73" s="2">
        <v>3544701.64</v>
      </c>
      <c r="I73" s="1" t="s">
        <v>40</v>
      </c>
      <c r="J73" s="1" t="s">
        <v>41</v>
      </c>
      <c r="K73" s="1" t="s">
        <v>42</v>
      </c>
      <c r="L73" s="1" t="s">
        <v>39</v>
      </c>
      <c r="M73" s="1" t="s">
        <v>39</v>
      </c>
      <c r="N73" s="1" t="s">
        <v>43</v>
      </c>
    </row>
    <row r="74" spans="1:14" x14ac:dyDescent="0.25">
      <c r="A74" s="1" t="s">
        <v>177</v>
      </c>
      <c r="B74" s="1" t="s">
        <v>178</v>
      </c>
      <c r="C74" s="1" t="s">
        <v>179</v>
      </c>
      <c r="D74" s="1" t="s">
        <v>180</v>
      </c>
      <c r="E74" s="1" t="s">
        <v>38</v>
      </c>
      <c r="F74" s="1" t="s">
        <v>39</v>
      </c>
      <c r="G74" s="2">
        <v>-500</v>
      </c>
      <c r="H74" s="2">
        <v>3544709.64</v>
      </c>
      <c r="I74" s="1" t="s">
        <v>40</v>
      </c>
      <c r="J74" s="1" t="s">
        <v>41</v>
      </c>
      <c r="K74" s="1" t="s">
        <v>181</v>
      </c>
      <c r="L74" s="1" t="s">
        <v>39</v>
      </c>
      <c r="M74" s="1" t="s">
        <v>39</v>
      </c>
      <c r="N74" s="1" t="s">
        <v>43</v>
      </c>
    </row>
    <row r="75" spans="1:14" x14ac:dyDescent="0.25">
      <c r="A75" s="1" t="s">
        <v>182</v>
      </c>
      <c r="B75" s="1" t="s">
        <v>183</v>
      </c>
      <c r="C75" s="1" t="s">
        <v>183</v>
      </c>
      <c r="D75" s="1" t="s">
        <v>37</v>
      </c>
      <c r="E75" s="1" t="s">
        <v>38</v>
      </c>
      <c r="F75" s="1" t="s">
        <v>39</v>
      </c>
      <c r="G75" s="2">
        <v>-2</v>
      </c>
      <c r="H75" s="2">
        <v>3545209.64</v>
      </c>
      <c r="I75" s="1" t="s">
        <v>40</v>
      </c>
      <c r="J75" s="1" t="s">
        <v>41</v>
      </c>
      <c r="K75" s="1" t="s">
        <v>42</v>
      </c>
      <c r="L75" s="1" t="s">
        <v>39</v>
      </c>
      <c r="M75" s="1" t="s">
        <v>39</v>
      </c>
      <c r="N75" s="1" t="s">
        <v>43</v>
      </c>
    </row>
    <row r="76" spans="1:14" x14ac:dyDescent="0.25">
      <c r="A76" s="1" t="s">
        <v>182</v>
      </c>
      <c r="B76" s="1" t="s">
        <v>183</v>
      </c>
      <c r="C76" s="1" t="s">
        <v>183</v>
      </c>
      <c r="D76" s="1" t="s">
        <v>184</v>
      </c>
      <c r="E76" s="1" t="s">
        <v>38</v>
      </c>
      <c r="F76" s="1" t="s">
        <v>39</v>
      </c>
      <c r="G76" s="2">
        <v>-15</v>
      </c>
      <c r="H76" s="2">
        <v>3545211.64</v>
      </c>
      <c r="I76" s="1" t="s">
        <v>40</v>
      </c>
      <c r="J76" s="1" t="s">
        <v>41</v>
      </c>
      <c r="K76" s="1" t="s">
        <v>185</v>
      </c>
      <c r="L76" s="1" t="s">
        <v>39</v>
      </c>
      <c r="M76" s="1" t="s">
        <v>39</v>
      </c>
      <c r="N76" s="1" t="s">
        <v>43</v>
      </c>
    </row>
    <row r="77" spans="1:14" x14ac:dyDescent="0.25">
      <c r="A77" s="1" t="s">
        <v>186</v>
      </c>
      <c r="B77" s="1" t="s">
        <v>187</v>
      </c>
      <c r="C77" s="1" t="s">
        <v>187</v>
      </c>
      <c r="D77" s="1" t="s">
        <v>48</v>
      </c>
      <c r="E77" s="1" t="s">
        <v>38</v>
      </c>
      <c r="F77" s="1" t="s">
        <v>39</v>
      </c>
      <c r="G77" s="2">
        <v>-68</v>
      </c>
      <c r="H77" s="2">
        <v>3545226.64</v>
      </c>
      <c r="I77" s="1" t="s">
        <v>40</v>
      </c>
      <c r="J77" s="1" t="s">
        <v>49</v>
      </c>
      <c r="K77" s="1" t="s">
        <v>42</v>
      </c>
      <c r="L77" s="1" t="s">
        <v>39</v>
      </c>
      <c r="M77" s="1" t="s">
        <v>39</v>
      </c>
      <c r="N77" s="1" t="s">
        <v>43</v>
      </c>
    </row>
    <row r="78" spans="1:14" x14ac:dyDescent="0.25">
      <c r="A78" s="1" t="s">
        <v>186</v>
      </c>
      <c r="B78" s="1" t="s">
        <v>187</v>
      </c>
      <c r="C78" s="1" t="s">
        <v>187</v>
      </c>
      <c r="D78" s="1" t="s">
        <v>188</v>
      </c>
      <c r="E78" s="1" t="s">
        <v>38</v>
      </c>
      <c r="F78" s="1" t="s">
        <v>39</v>
      </c>
      <c r="G78" s="2">
        <v>-18000</v>
      </c>
      <c r="H78" s="2">
        <v>3545294.64</v>
      </c>
      <c r="I78" s="1" t="s">
        <v>40</v>
      </c>
      <c r="J78" s="1" t="s">
        <v>49</v>
      </c>
      <c r="K78" s="1" t="s">
        <v>189</v>
      </c>
      <c r="L78" s="1" t="s">
        <v>39</v>
      </c>
      <c r="M78" s="1" t="s">
        <v>190</v>
      </c>
      <c r="N78" s="1" t="s">
        <v>43</v>
      </c>
    </row>
    <row r="79" spans="1:14" x14ac:dyDescent="0.25">
      <c r="A79" s="1" t="s">
        <v>191</v>
      </c>
      <c r="B79" s="1" t="s">
        <v>192</v>
      </c>
      <c r="C79" s="1" t="s">
        <v>193</v>
      </c>
      <c r="D79" s="1" t="s">
        <v>194</v>
      </c>
      <c r="E79" s="1" t="s">
        <v>38</v>
      </c>
      <c r="F79" s="1" t="s">
        <v>39</v>
      </c>
      <c r="G79" s="2">
        <v>-17366</v>
      </c>
      <c r="H79" s="2">
        <v>3563294.64</v>
      </c>
      <c r="I79" s="1" t="s">
        <v>40</v>
      </c>
      <c r="J79" s="1" t="s">
        <v>49</v>
      </c>
      <c r="K79" s="1" t="s">
        <v>195</v>
      </c>
      <c r="L79" s="1" t="s">
        <v>39</v>
      </c>
      <c r="M79" s="1" t="s">
        <v>196</v>
      </c>
      <c r="N79" s="1" t="s">
        <v>43</v>
      </c>
    </row>
    <row r="80" spans="1:14" x14ac:dyDescent="0.25">
      <c r="A80" s="1" t="s">
        <v>191</v>
      </c>
      <c r="B80" s="1" t="s">
        <v>192</v>
      </c>
      <c r="C80" s="1" t="s">
        <v>193</v>
      </c>
      <c r="D80" s="1" t="s">
        <v>48</v>
      </c>
      <c r="E80" s="1" t="s">
        <v>38</v>
      </c>
      <c r="F80" s="1" t="s">
        <v>39</v>
      </c>
      <c r="G80" s="2">
        <v>-68</v>
      </c>
      <c r="H80" s="2">
        <v>3580660.64</v>
      </c>
      <c r="I80" s="1" t="s">
        <v>40</v>
      </c>
      <c r="J80" s="1" t="s">
        <v>49</v>
      </c>
      <c r="K80" s="1" t="s">
        <v>42</v>
      </c>
      <c r="L80" s="1" t="s">
        <v>39</v>
      </c>
      <c r="M80" s="1" t="s">
        <v>39</v>
      </c>
      <c r="N80" s="1" t="s">
        <v>43</v>
      </c>
    </row>
    <row r="81" spans="1:14" x14ac:dyDescent="0.25">
      <c r="A81" s="1" t="s">
        <v>197</v>
      </c>
      <c r="B81" s="1" t="s">
        <v>198</v>
      </c>
      <c r="C81" s="1" t="s">
        <v>198</v>
      </c>
      <c r="D81" s="1" t="s">
        <v>37</v>
      </c>
      <c r="E81" s="1" t="s">
        <v>38</v>
      </c>
      <c r="F81" s="1" t="s">
        <v>39</v>
      </c>
      <c r="G81" s="2">
        <v>-8</v>
      </c>
      <c r="H81" s="2">
        <v>3580728.64</v>
      </c>
      <c r="I81" s="1" t="s">
        <v>40</v>
      </c>
      <c r="J81" s="1" t="s">
        <v>41</v>
      </c>
      <c r="K81" s="1" t="s">
        <v>42</v>
      </c>
      <c r="L81" s="1" t="s">
        <v>39</v>
      </c>
      <c r="M81" s="1" t="s">
        <v>39</v>
      </c>
      <c r="N81" s="1" t="s">
        <v>43</v>
      </c>
    </row>
    <row r="82" spans="1:14" x14ac:dyDescent="0.25">
      <c r="A82" s="1" t="s">
        <v>197</v>
      </c>
      <c r="B82" s="1" t="s">
        <v>198</v>
      </c>
      <c r="C82" s="1" t="s">
        <v>198</v>
      </c>
      <c r="D82" s="1" t="s">
        <v>199</v>
      </c>
      <c r="E82" s="1" t="s">
        <v>38</v>
      </c>
      <c r="F82" s="1" t="s">
        <v>39</v>
      </c>
      <c r="G82" s="2">
        <v>-450</v>
      </c>
      <c r="H82" s="2">
        <v>3580736.64</v>
      </c>
      <c r="I82" s="1" t="s">
        <v>40</v>
      </c>
      <c r="J82" s="1" t="s">
        <v>41</v>
      </c>
      <c r="K82" s="1" t="s">
        <v>200</v>
      </c>
      <c r="L82" s="1" t="s">
        <v>39</v>
      </c>
      <c r="M82" s="1" t="s">
        <v>39</v>
      </c>
      <c r="N82" s="1" t="s">
        <v>43</v>
      </c>
    </row>
    <row r="83" spans="1:14" x14ac:dyDescent="0.25">
      <c r="A83" s="1" t="s">
        <v>201</v>
      </c>
      <c r="B83" s="1" t="s">
        <v>202</v>
      </c>
      <c r="C83" s="1" t="s">
        <v>203</v>
      </c>
      <c r="D83" s="1" t="s">
        <v>48</v>
      </c>
      <c r="E83" s="1" t="s">
        <v>38</v>
      </c>
      <c r="F83" s="1" t="s">
        <v>39</v>
      </c>
      <c r="G83" s="2">
        <v>-8</v>
      </c>
      <c r="H83" s="2">
        <v>3581186.64</v>
      </c>
      <c r="I83" s="1" t="s">
        <v>40</v>
      </c>
      <c r="J83" s="1" t="s">
        <v>49</v>
      </c>
      <c r="K83" s="1" t="s">
        <v>42</v>
      </c>
      <c r="L83" s="1" t="s">
        <v>39</v>
      </c>
      <c r="M83" s="1" t="s">
        <v>39</v>
      </c>
      <c r="N83" s="1" t="s">
        <v>43</v>
      </c>
    </row>
    <row r="84" spans="1:14" x14ac:dyDescent="0.25">
      <c r="A84" s="1" t="s">
        <v>201</v>
      </c>
      <c r="B84" s="1" t="s">
        <v>202</v>
      </c>
      <c r="C84" s="1" t="s">
        <v>203</v>
      </c>
      <c r="D84" s="1" t="s">
        <v>94</v>
      </c>
      <c r="E84" s="1" t="s">
        <v>38</v>
      </c>
      <c r="F84" s="1" t="s">
        <v>39</v>
      </c>
      <c r="G84" s="2">
        <v>-300</v>
      </c>
      <c r="H84" s="2">
        <v>3581194.64</v>
      </c>
      <c r="I84" s="1" t="s">
        <v>40</v>
      </c>
      <c r="J84" s="1" t="s">
        <v>49</v>
      </c>
      <c r="K84" s="1" t="s">
        <v>95</v>
      </c>
      <c r="L84" s="1" t="s">
        <v>39</v>
      </c>
      <c r="M84" s="1" t="s">
        <v>96</v>
      </c>
      <c r="N84" s="1" t="s">
        <v>43</v>
      </c>
    </row>
    <row r="85" spans="1:14" x14ac:dyDescent="0.25">
      <c r="A85" s="1" t="s">
        <v>204</v>
      </c>
      <c r="B85" s="1" t="s">
        <v>205</v>
      </c>
      <c r="C85" s="1" t="s">
        <v>206</v>
      </c>
      <c r="D85" s="1" t="s">
        <v>94</v>
      </c>
      <c r="E85" s="1" t="s">
        <v>38</v>
      </c>
      <c r="F85" s="1" t="s">
        <v>39</v>
      </c>
      <c r="G85" s="2">
        <v>-8000</v>
      </c>
      <c r="H85" s="2">
        <v>3581494.64</v>
      </c>
      <c r="I85" s="1" t="s">
        <v>40</v>
      </c>
      <c r="J85" s="1" t="s">
        <v>49</v>
      </c>
      <c r="K85" s="1" t="s">
        <v>95</v>
      </c>
      <c r="L85" s="1" t="s">
        <v>39</v>
      </c>
      <c r="M85" s="1" t="s">
        <v>96</v>
      </c>
      <c r="N85" s="1" t="s">
        <v>43</v>
      </c>
    </row>
    <row r="86" spans="1:14" x14ac:dyDescent="0.25">
      <c r="A86" s="1" t="s">
        <v>204</v>
      </c>
      <c r="B86" s="1" t="s">
        <v>205</v>
      </c>
      <c r="C86" s="1" t="s">
        <v>206</v>
      </c>
      <c r="D86" s="1" t="s">
        <v>48</v>
      </c>
      <c r="E86" s="1" t="s">
        <v>38</v>
      </c>
      <c r="F86" s="1" t="s">
        <v>39</v>
      </c>
      <c r="G86" s="2">
        <v>-54</v>
      </c>
      <c r="H86" s="2">
        <v>3589494.64</v>
      </c>
      <c r="I86" s="1" t="s">
        <v>40</v>
      </c>
      <c r="J86" s="1" t="s">
        <v>49</v>
      </c>
      <c r="K86" s="1" t="s">
        <v>42</v>
      </c>
      <c r="L86" s="1" t="s">
        <v>39</v>
      </c>
      <c r="M86" s="1" t="s">
        <v>39</v>
      </c>
      <c r="N86" s="1" t="s">
        <v>43</v>
      </c>
    </row>
    <row r="87" spans="1:14" x14ac:dyDescent="0.25">
      <c r="A87" s="1" t="s">
        <v>207</v>
      </c>
      <c r="B87" s="1" t="s">
        <v>208</v>
      </c>
      <c r="C87" s="1" t="s">
        <v>208</v>
      </c>
      <c r="D87" s="1" t="s">
        <v>37</v>
      </c>
      <c r="E87" s="1" t="s">
        <v>38</v>
      </c>
      <c r="F87" s="1" t="s">
        <v>39</v>
      </c>
      <c r="G87" s="2">
        <v>-3</v>
      </c>
      <c r="H87" s="2">
        <v>3589548.64</v>
      </c>
      <c r="I87" s="1" t="s">
        <v>40</v>
      </c>
      <c r="J87" s="1" t="s">
        <v>41</v>
      </c>
      <c r="K87" s="1" t="s">
        <v>42</v>
      </c>
      <c r="L87" s="1" t="s">
        <v>39</v>
      </c>
      <c r="M87" s="1" t="s">
        <v>39</v>
      </c>
      <c r="N87" s="1" t="s">
        <v>43</v>
      </c>
    </row>
    <row r="88" spans="1:14" x14ac:dyDescent="0.25">
      <c r="A88" s="1" t="s">
        <v>207</v>
      </c>
      <c r="B88" s="1" t="s">
        <v>208</v>
      </c>
      <c r="C88" s="1" t="s">
        <v>208</v>
      </c>
      <c r="D88" s="1" t="s">
        <v>209</v>
      </c>
      <c r="E88" s="1" t="s">
        <v>38</v>
      </c>
      <c r="F88" s="1" t="s">
        <v>39</v>
      </c>
      <c r="G88" s="2">
        <v>-100</v>
      </c>
      <c r="H88" s="2">
        <v>3589551.64</v>
      </c>
      <c r="I88" s="1" t="s">
        <v>40</v>
      </c>
      <c r="J88" s="1" t="s">
        <v>41</v>
      </c>
      <c r="K88" s="1" t="s">
        <v>210</v>
      </c>
      <c r="L88" s="1" t="s">
        <v>39</v>
      </c>
      <c r="M88" s="1" t="s">
        <v>39</v>
      </c>
      <c r="N88" s="1" t="s">
        <v>43</v>
      </c>
    </row>
    <row r="89" spans="1:14" x14ac:dyDescent="0.25">
      <c r="A89" s="1" t="s">
        <v>211</v>
      </c>
      <c r="B89" s="1" t="s">
        <v>212</v>
      </c>
      <c r="C89" s="1" t="s">
        <v>212</v>
      </c>
      <c r="D89" s="1" t="s">
        <v>37</v>
      </c>
      <c r="E89" s="1" t="s">
        <v>38</v>
      </c>
      <c r="F89" s="1" t="s">
        <v>39</v>
      </c>
      <c r="G89" s="2">
        <v>-3</v>
      </c>
      <c r="H89" s="2">
        <v>3589651.64</v>
      </c>
      <c r="I89" s="1" t="s">
        <v>40</v>
      </c>
      <c r="J89" s="1" t="s">
        <v>41</v>
      </c>
      <c r="K89" s="1" t="s">
        <v>42</v>
      </c>
      <c r="L89" s="1" t="s">
        <v>39</v>
      </c>
      <c r="M89" s="1" t="s">
        <v>39</v>
      </c>
      <c r="N89" s="1" t="s">
        <v>43</v>
      </c>
    </row>
    <row r="90" spans="1:14" x14ac:dyDescent="0.25">
      <c r="A90" s="1" t="s">
        <v>211</v>
      </c>
      <c r="B90" s="1" t="s">
        <v>212</v>
      </c>
      <c r="C90" s="1" t="s">
        <v>212</v>
      </c>
      <c r="D90" s="1" t="s">
        <v>209</v>
      </c>
      <c r="E90" s="1" t="s">
        <v>38</v>
      </c>
      <c r="F90" s="1" t="s">
        <v>39</v>
      </c>
      <c r="G90" s="2">
        <v>-50</v>
      </c>
      <c r="H90" s="2">
        <v>3589654.64</v>
      </c>
      <c r="I90" s="1" t="s">
        <v>40</v>
      </c>
      <c r="J90" s="1" t="s">
        <v>41</v>
      </c>
      <c r="K90" s="1" t="s">
        <v>210</v>
      </c>
      <c r="L90" s="1" t="s">
        <v>39</v>
      </c>
      <c r="M90" s="1" t="s">
        <v>39</v>
      </c>
      <c r="N90" s="1" t="s">
        <v>43</v>
      </c>
    </row>
    <row r="91" spans="1:14" x14ac:dyDescent="0.25">
      <c r="A91" s="1" t="s">
        <v>213</v>
      </c>
      <c r="B91" s="1" t="s">
        <v>214</v>
      </c>
      <c r="C91" s="1" t="s">
        <v>215</v>
      </c>
      <c r="D91" s="1" t="s">
        <v>94</v>
      </c>
      <c r="E91" s="1" t="s">
        <v>38</v>
      </c>
      <c r="F91" s="1" t="s">
        <v>39</v>
      </c>
      <c r="G91" s="2">
        <v>-750</v>
      </c>
      <c r="H91" s="2">
        <v>3589704.64</v>
      </c>
      <c r="I91" s="1" t="s">
        <v>40</v>
      </c>
      <c r="J91" s="1" t="s">
        <v>49</v>
      </c>
      <c r="K91" s="1" t="s">
        <v>95</v>
      </c>
      <c r="L91" s="1" t="s">
        <v>39</v>
      </c>
      <c r="M91" s="1" t="s">
        <v>96</v>
      </c>
      <c r="N91" s="1" t="s">
        <v>43</v>
      </c>
    </row>
    <row r="92" spans="1:14" x14ac:dyDescent="0.25">
      <c r="A92" s="1" t="s">
        <v>213</v>
      </c>
      <c r="B92" s="1" t="s">
        <v>214</v>
      </c>
      <c r="C92" s="1" t="s">
        <v>215</v>
      </c>
      <c r="D92" s="1" t="s">
        <v>48</v>
      </c>
      <c r="E92" s="1" t="s">
        <v>38</v>
      </c>
      <c r="F92" s="1" t="s">
        <v>39</v>
      </c>
      <c r="G92" s="2">
        <v>-13</v>
      </c>
      <c r="H92" s="2">
        <v>3590454.64</v>
      </c>
      <c r="I92" s="1" t="s">
        <v>40</v>
      </c>
      <c r="J92" s="1" t="s">
        <v>49</v>
      </c>
      <c r="K92" s="1" t="s">
        <v>42</v>
      </c>
      <c r="L92" s="1" t="s">
        <v>39</v>
      </c>
      <c r="M92" s="1" t="s">
        <v>39</v>
      </c>
      <c r="N92" s="1" t="s">
        <v>43</v>
      </c>
    </row>
    <row r="93" spans="1:14" x14ac:dyDescent="0.25">
      <c r="A93" s="1" t="s">
        <v>216</v>
      </c>
      <c r="B93" s="1" t="s">
        <v>217</v>
      </c>
      <c r="C93" s="1" t="s">
        <v>218</v>
      </c>
      <c r="D93" s="1" t="s">
        <v>219</v>
      </c>
      <c r="E93" s="1" t="s">
        <v>38</v>
      </c>
      <c r="F93" s="1" t="s">
        <v>39</v>
      </c>
      <c r="G93" s="2">
        <v>-67400</v>
      </c>
      <c r="H93" s="2">
        <v>3590467.64</v>
      </c>
      <c r="I93" s="1" t="s">
        <v>40</v>
      </c>
      <c r="J93" s="1" t="s">
        <v>49</v>
      </c>
      <c r="K93" s="1" t="s">
        <v>220</v>
      </c>
      <c r="L93" s="1" t="s">
        <v>39</v>
      </c>
      <c r="M93" s="1" t="s">
        <v>221</v>
      </c>
      <c r="N93" s="1" t="s">
        <v>43</v>
      </c>
    </row>
    <row r="94" spans="1:14" x14ac:dyDescent="0.25">
      <c r="A94" s="1" t="s">
        <v>216</v>
      </c>
      <c r="B94" s="1" t="s">
        <v>217</v>
      </c>
      <c r="C94" s="1" t="s">
        <v>218</v>
      </c>
      <c r="D94" s="1" t="s">
        <v>48</v>
      </c>
      <c r="E94" s="1" t="s">
        <v>38</v>
      </c>
      <c r="F94" s="1" t="s">
        <v>39</v>
      </c>
      <c r="G94" s="2">
        <v>-115</v>
      </c>
      <c r="H94" s="2">
        <v>3657867.64</v>
      </c>
      <c r="I94" s="1" t="s">
        <v>40</v>
      </c>
      <c r="J94" s="1" t="s">
        <v>49</v>
      </c>
      <c r="K94" s="1" t="s">
        <v>42</v>
      </c>
      <c r="L94" s="1" t="s">
        <v>39</v>
      </c>
      <c r="M94" s="1" t="s">
        <v>39</v>
      </c>
      <c r="N94" s="1" t="s">
        <v>43</v>
      </c>
    </row>
    <row r="95" spans="1:14" x14ac:dyDescent="0.25">
      <c r="A95" s="1" t="s">
        <v>222</v>
      </c>
      <c r="B95" s="1" t="s">
        <v>223</v>
      </c>
      <c r="C95" s="1" t="s">
        <v>224</v>
      </c>
      <c r="D95" s="1" t="s">
        <v>48</v>
      </c>
      <c r="E95" s="1" t="s">
        <v>38</v>
      </c>
      <c r="F95" s="1" t="s">
        <v>39</v>
      </c>
      <c r="G95" s="2">
        <v>-63</v>
      </c>
      <c r="H95" s="2">
        <v>3657982.64</v>
      </c>
      <c r="I95" s="1" t="s">
        <v>40</v>
      </c>
      <c r="J95" s="1" t="s">
        <v>49</v>
      </c>
      <c r="K95" s="1" t="s">
        <v>42</v>
      </c>
      <c r="L95" s="1" t="s">
        <v>39</v>
      </c>
      <c r="M95" s="1" t="s">
        <v>39</v>
      </c>
      <c r="N95" s="1" t="s">
        <v>43</v>
      </c>
    </row>
    <row r="96" spans="1:14" x14ac:dyDescent="0.25">
      <c r="A96" s="1" t="s">
        <v>222</v>
      </c>
      <c r="B96" s="1" t="s">
        <v>223</v>
      </c>
      <c r="C96" s="1" t="s">
        <v>224</v>
      </c>
      <c r="D96" s="1" t="s">
        <v>94</v>
      </c>
      <c r="E96" s="1" t="s">
        <v>38</v>
      </c>
      <c r="F96" s="1" t="s">
        <v>39</v>
      </c>
      <c r="G96" s="2">
        <v>-12000</v>
      </c>
      <c r="H96" s="2">
        <v>3658045.64</v>
      </c>
      <c r="I96" s="1" t="s">
        <v>40</v>
      </c>
      <c r="J96" s="1" t="s">
        <v>49</v>
      </c>
      <c r="K96" s="1" t="s">
        <v>95</v>
      </c>
      <c r="L96" s="1" t="s">
        <v>39</v>
      </c>
      <c r="M96" s="1" t="s">
        <v>96</v>
      </c>
      <c r="N96" s="1" t="s">
        <v>43</v>
      </c>
    </row>
    <row r="97" spans="1:14" x14ac:dyDescent="0.25">
      <c r="A97" s="1" t="s">
        <v>225</v>
      </c>
      <c r="B97" s="1" t="s">
        <v>226</v>
      </c>
      <c r="C97" s="1" t="s">
        <v>226</v>
      </c>
      <c r="D97" s="1" t="s">
        <v>48</v>
      </c>
      <c r="E97" s="1" t="s">
        <v>38</v>
      </c>
      <c r="F97" s="1" t="s">
        <v>39</v>
      </c>
      <c r="G97" s="2">
        <v>-8</v>
      </c>
      <c r="H97" s="2">
        <v>3670045.64</v>
      </c>
      <c r="I97" s="1" t="s">
        <v>40</v>
      </c>
      <c r="J97" s="1" t="s">
        <v>49</v>
      </c>
      <c r="K97" s="1" t="s">
        <v>42</v>
      </c>
      <c r="L97" s="1" t="s">
        <v>39</v>
      </c>
      <c r="M97" s="1" t="s">
        <v>39</v>
      </c>
      <c r="N97" s="1" t="s">
        <v>43</v>
      </c>
    </row>
    <row r="98" spans="1:14" x14ac:dyDescent="0.25">
      <c r="A98" s="1" t="s">
        <v>225</v>
      </c>
      <c r="B98" s="1" t="s">
        <v>226</v>
      </c>
      <c r="C98" s="1" t="s">
        <v>226</v>
      </c>
      <c r="D98" s="1" t="s">
        <v>227</v>
      </c>
      <c r="E98" s="1" t="s">
        <v>38</v>
      </c>
      <c r="F98" s="1" t="s">
        <v>39</v>
      </c>
      <c r="G98" s="2">
        <v>-500</v>
      </c>
      <c r="H98" s="2">
        <v>3670053.64</v>
      </c>
      <c r="I98" s="1" t="s">
        <v>40</v>
      </c>
      <c r="J98" s="1" t="s">
        <v>49</v>
      </c>
      <c r="K98" s="1" t="s">
        <v>228</v>
      </c>
      <c r="L98" s="1" t="s">
        <v>39</v>
      </c>
      <c r="M98" s="1" t="s">
        <v>229</v>
      </c>
      <c r="N98" s="1" t="s">
        <v>43</v>
      </c>
    </row>
    <row r="99" spans="1:14" x14ac:dyDescent="0.25">
      <c r="A99" s="1" t="s">
        <v>230</v>
      </c>
      <c r="B99" s="1" t="s">
        <v>231</v>
      </c>
      <c r="C99" s="1" t="s">
        <v>231</v>
      </c>
      <c r="D99" s="1" t="s">
        <v>48</v>
      </c>
      <c r="E99" s="1" t="s">
        <v>38</v>
      </c>
      <c r="F99" s="1" t="s">
        <v>39</v>
      </c>
      <c r="G99" s="2">
        <v>-110</v>
      </c>
      <c r="H99" s="2">
        <v>3670553.64</v>
      </c>
      <c r="I99" s="1" t="s">
        <v>40</v>
      </c>
      <c r="J99" s="1" t="s">
        <v>49</v>
      </c>
      <c r="K99" s="1" t="s">
        <v>42</v>
      </c>
      <c r="L99" s="1" t="s">
        <v>39</v>
      </c>
      <c r="M99" s="1" t="s">
        <v>39</v>
      </c>
      <c r="N99" s="1" t="s">
        <v>43</v>
      </c>
    </row>
    <row r="100" spans="1:14" x14ac:dyDescent="0.25">
      <c r="A100" s="1" t="s">
        <v>230</v>
      </c>
      <c r="B100" s="1" t="s">
        <v>231</v>
      </c>
      <c r="C100" s="1" t="s">
        <v>231</v>
      </c>
      <c r="D100" s="1" t="s">
        <v>227</v>
      </c>
      <c r="E100" s="1" t="s">
        <v>38</v>
      </c>
      <c r="F100" s="1" t="s">
        <v>39</v>
      </c>
      <c r="G100" s="2">
        <v>-42000</v>
      </c>
      <c r="H100" s="2">
        <v>3670663.64</v>
      </c>
      <c r="I100" s="1" t="s">
        <v>40</v>
      </c>
      <c r="J100" s="1" t="s">
        <v>49</v>
      </c>
      <c r="K100" s="1" t="s">
        <v>228</v>
      </c>
      <c r="L100" s="1" t="s">
        <v>39</v>
      </c>
      <c r="M100" s="1" t="s">
        <v>229</v>
      </c>
      <c r="N100" s="1" t="s">
        <v>43</v>
      </c>
    </row>
    <row r="101" spans="1:14" x14ac:dyDescent="0.25">
      <c r="A101" s="1" t="s">
        <v>232</v>
      </c>
      <c r="B101" s="1" t="s">
        <v>233</v>
      </c>
      <c r="C101" s="1" t="s">
        <v>233</v>
      </c>
      <c r="D101" s="1" t="s">
        <v>37</v>
      </c>
      <c r="E101" s="1" t="s">
        <v>38</v>
      </c>
      <c r="F101" s="1" t="s">
        <v>39</v>
      </c>
      <c r="G101" s="2">
        <v>-25</v>
      </c>
      <c r="H101" s="2">
        <v>3712663.64</v>
      </c>
      <c r="I101" s="1" t="s">
        <v>40</v>
      </c>
      <c r="J101" s="1" t="s">
        <v>41</v>
      </c>
      <c r="K101" s="1" t="s">
        <v>42</v>
      </c>
      <c r="L101" s="1" t="s">
        <v>39</v>
      </c>
      <c r="M101" s="1" t="s">
        <v>39</v>
      </c>
      <c r="N101" s="1" t="s">
        <v>43</v>
      </c>
    </row>
    <row r="102" spans="1:14" x14ac:dyDescent="0.25">
      <c r="A102" s="1" t="s">
        <v>232</v>
      </c>
      <c r="B102" s="1" t="s">
        <v>233</v>
      </c>
      <c r="C102" s="1" t="s">
        <v>233</v>
      </c>
      <c r="D102" s="1" t="s">
        <v>234</v>
      </c>
      <c r="E102" s="1" t="s">
        <v>38</v>
      </c>
      <c r="F102" s="1" t="s">
        <v>39</v>
      </c>
      <c r="G102" s="2">
        <v>-1663</v>
      </c>
      <c r="H102" s="2">
        <v>3712688.64</v>
      </c>
      <c r="I102" s="1" t="s">
        <v>40</v>
      </c>
      <c r="J102" s="1" t="s">
        <v>41</v>
      </c>
      <c r="K102" s="1" t="s">
        <v>235</v>
      </c>
      <c r="L102" s="1" t="s">
        <v>39</v>
      </c>
      <c r="M102" s="1" t="s">
        <v>39</v>
      </c>
      <c r="N102" s="1" t="s">
        <v>43</v>
      </c>
    </row>
    <row r="103" spans="1:14" x14ac:dyDescent="0.25">
      <c r="A103" s="1" t="s">
        <v>236</v>
      </c>
      <c r="B103" s="1" t="s">
        <v>237</v>
      </c>
      <c r="C103" s="1" t="s">
        <v>237</v>
      </c>
      <c r="D103" s="1" t="s">
        <v>37</v>
      </c>
      <c r="E103" s="1" t="s">
        <v>38</v>
      </c>
      <c r="F103" s="1" t="s">
        <v>39</v>
      </c>
      <c r="G103" s="2">
        <v>-13</v>
      </c>
      <c r="H103" s="2">
        <v>3714351.64</v>
      </c>
      <c r="I103" s="1" t="s">
        <v>40</v>
      </c>
      <c r="J103" s="1" t="s">
        <v>41</v>
      </c>
      <c r="K103" s="1" t="s">
        <v>42</v>
      </c>
      <c r="L103" s="1" t="s">
        <v>39</v>
      </c>
      <c r="M103" s="1" t="s">
        <v>39</v>
      </c>
      <c r="N103" s="1" t="s">
        <v>43</v>
      </c>
    </row>
    <row r="104" spans="1:14" x14ac:dyDescent="0.25">
      <c r="A104" s="1" t="s">
        <v>236</v>
      </c>
      <c r="B104" s="1" t="s">
        <v>237</v>
      </c>
      <c r="C104" s="1" t="s">
        <v>237</v>
      </c>
      <c r="D104" s="1" t="s">
        <v>238</v>
      </c>
      <c r="E104" s="1" t="s">
        <v>38</v>
      </c>
      <c r="F104" s="1" t="s">
        <v>39</v>
      </c>
      <c r="G104" s="2">
        <v>-1000</v>
      </c>
      <c r="H104" s="2">
        <v>3714364.64</v>
      </c>
      <c r="I104" s="1" t="s">
        <v>40</v>
      </c>
      <c r="J104" s="1" t="s">
        <v>41</v>
      </c>
      <c r="K104" s="1" t="s">
        <v>239</v>
      </c>
      <c r="L104" s="1" t="s">
        <v>39</v>
      </c>
      <c r="M104" s="1" t="s">
        <v>39</v>
      </c>
      <c r="N104" s="1" t="s">
        <v>43</v>
      </c>
    </row>
    <row r="105" spans="1:14" x14ac:dyDescent="0.25">
      <c r="A105" s="1" t="s">
        <v>240</v>
      </c>
      <c r="B105" s="1" t="s">
        <v>241</v>
      </c>
      <c r="C105" s="1" t="s">
        <v>241</v>
      </c>
      <c r="D105" s="1" t="s">
        <v>48</v>
      </c>
      <c r="E105" s="1" t="s">
        <v>38</v>
      </c>
      <c r="F105" s="1" t="s">
        <v>39</v>
      </c>
      <c r="G105" s="2">
        <v>-68</v>
      </c>
      <c r="H105" s="2">
        <v>3715364.64</v>
      </c>
      <c r="I105" s="1" t="s">
        <v>40</v>
      </c>
      <c r="J105" s="1" t="s">
        <v>49</v>
      </c>
      <c r="K105" s="1" t="s">
        <v>42</v>
      </c>
      <c r="L105" s="1" t="s">
        <v>39</v>
      </c>
      <c r="M105" s="1" t="s">
        <v>39</v>
      </c>
      <c r="N105" s="1" t="s">
        <v>43</v>
      </c>
    </row>
    <row r="106" spans="1:14" x14ac:dyDescent="0.25">
      <c r="A106" s="1" t="s">
        <v>240</v>
      </c>
      <c r="B106" s="1" t="s">
        <v>241</v>
      </c>
      <c r="C106" s="1" t="s">
        <v>241</v>
      </c>
      <c r="D106" s="1" t="s">
        <v>242</v>
      </c>
      <c r="E106" s="1" t="s">
        <v>38</v>
      </c>
      <c r="F106" s="1" t="s">
        <v>39</v>
      </c>
      <c r="G106" s="2">
        <v>-19999</v>
      </c>
      <c r="H106" s="2">
        <v>3715432.64</v>
      </c>
      <c r="I106" s="1" t="s">
        <v>40</v>
      </c>
      <c r="J106" s="1" t="s">
        <v>49</v>
      </c>
      <c r="K106" s="1" t="s">
        <v>243</v>
      </c>
      <c r="L106" s="1" t="s">
        <v>39</v>
      </c>
      <c r="M106" s="1" t="s">
        <v>244</v>
      </c>
      <c r="N106" s="1" t="s">
        <v>43</v>
      </c>
    </row>
    <row r="107" spans="1:14" x14ac:dyDescent="0.25">
      <c r="A107" s="1" t="s">
        <v>245</v>
      </c>
      <c r="B107" s="1" t="s">
        <v>246</v>
      </c>
      <c r="C107" s="1" t="s">
        <v>246</v>
      </c>
      <c r="D107" s="1" t="s">
        <v>48</v>
      </c>
      <c r="E107" s="1" t="s">
        <v>38</v>
      </c>
      <c r="F107" s="1" t="s">
        <v>39</v>
      </c>
      <c r="G107" s="2">
        <v>-8</v>
      </c>
      <c r="H107" s="2">
        <v>3735431.64</v>
      </c>
      <c r="I107" s="1" t="s">
        <v>40</v>
      </c>
      <c r="J107" s="1" t="s">
        <v>49</v>
      </c>
      <c r="K107" s="1" t="s">
        <v>42</v>
      </c>
      <c r="L107" s="1" t="s">
        <v>39</v>
      </c>
      <c r="M107" s="1" t="s">
        <v>39</v>
      </c>
      <c r="N107" s="1" t="s">
        <v>43</v>
      </c>
    </row>
    <row r="108" spans="1:14" x14ac:dyDescent="0.25">
      <c r="A108" s="1" t="s">
        <v>245</v>
      </c>
      <c r="B108" s="1" t="s">
        <v>246</v>
      </c>
      <c r="C108" s="1" t="s">
        <v>246</v>
      </c>
      <c r="D108" s="1" t="s">
        <v>227</v>
      </c>
      <c r="E108" s="1" t="s">
        <v>38</v>
      </c>
      <c r="F108" s="1" t="s">
        <v>39</v>
      </c>
      <c r="G108" s="2">
        <v>-500</v>
      </c>
      <c r="H108" s="2">
        <v>3735439.64</v>
      </c>
      <c r="I108" s="1" t="s">
        <v>40</v>
      </c>
      <c r="J108" s="1" t="s">
        <v>49</v>
      </c>
      <c r="K108" s="1" t="s">
        <v>228</v>
      </c>
      <c r="L108" s="1" t="s">
        <v>39</v>
      </c>
      <c r="M108" s="1" t="s">
        <v>229</v>
      </c>
      <c r="N108" s="1" t="s">
        <v>43</v>
      </c>
    </row>
    <row r="109" spans="1:14" x14ac:dyDescent="0.25">
      <c r="A109" s="1" t="s">
        <v>247</v>
      </c>
      <c r="B109" s="1" t="s">
        <v>248</v>
      </c>
      <c r="C109" s="1" t="s">
        <v>248</v>
      </c>
      <c r="D109" s="1" t="s">
        <v>48</v>
      </c>
      <c r="E109" s="1" t="s">
        <v>38</v>
      </c>
      <c r="F109" s="1" t="s">
        <v>39</v>
      </c>
      <c r="G109" s="2">
        <v>-74</v>
      </c>
      <c r="H109" s="2">
        <v>3735939.64</v>
      </c>
      <c r="I109" s="1" t="s">
        <v>40</v>
      </c>
      <c r="J109" s="1" t="s">
        <v>49</v>
      </c>
      <c r="K109" s="1" t="s">
        <v>42</v>
      </c>
      <c r="L109" s="1" t="s">
        <v>39</v>
      </c>
      <c r="M109" s="1" t="s">
        <v>39</v>
      </c>
      <c r="N109" s="1" t="s">
        <v>43</v>
      </c>
    </row>
    <row r="110" spans="1:14" x14ac:dyDescent="0.25">
      <c r="A110" s="1" t="s">
        <v>247</v>
      </c>
      <c r="B110" s="1" t="s">
        <v>248</v>
      </c>
      <c r="C110" s="1" t="s">
        <v>248</v>
      </c>
      <c r="D110" s="1" t="s">
        <v>227</v>
      </c>
      <c r="E110" s="1" t="s">
        <v>38</v>
      </c>
      <c r="F110" s="1" t="s">
        <v>39</v>
      </c>
      <c r="G110" s="2">
        <v>-24000</v>
      </c>
      <c r="H110" s="2">
        <v>3736013.64</v>
      </c>
      <c r="I110" s="1" t="s">
        <v>40</v>
      </c>
      <c r="J110" s="1" t="s">
        <v>49</v>
      </c>
      <c r="K110" s="1" t="s">
        <v>228</v>
      </c>
      <c r="L110" s="1" t="s">
        <v>39</v>
      </c>
      <c r="M110" s="1" t="s">
        <v>229</v>
      </c>
      <c r="N110" s="1" t="s">
        <v>43</v>
      </c>
    </row>
    <row r="111" spans="1:14" x14ac:dyDescent="0.25">
      <c r="A111" s="1" t="s">
        <v>249</v>
      </c>
      <c r="B111" s="1" t="s">
        <v>250</v>
      </c>
      <c r="C111" s="1" t="s">
        <v>250</v>
      </c>
      <c r="D111" s="1" t="s">
        <v>37</v>
      </c>
      <c r="E111" s="1" t="s">
        <v>38</v>
      </c>
      <c r="F111" s="1" t="s">
        <v>39</v>
      </c>
      <c r="G111" s="2">
        <v>-30</v>
      </c>
      <c r="H111" s="2">
        <v>3760013.64</v>
      </c>
      <c r="I111" s="1" t="s">
        <v>40</v>
      </c>
      <c r="J111" s="1" t="s">
        <v>41</v>
      </c>
      <c r="K111" s="1" t="s">
        <v>42</v>
      </c>
      <c r="L111" s="1" t="s">
        <v>39</v>
      </c>
      <c r="M111" s="1" t="s">
        <v>39</v>
      </c>
      <c r="N111" s="1" t="s">
        <v>43</v>
      </c>
    </row>
    <row r="112" spans="1:14" x14ac:dyDescent="0.25">
      <c r="A112" s="1" t="s">
        <v>249</v>
      </c>
      <c r="B112" s="1" t="s">
        <v>250</v>
      </c>
      <c r="C112" s="1" t="s">
        <v>250</v>
      </c>
      <c r="D112" s="1" t="s">
        <v>251</v>
      </c>
      <c r="E112" s="1" t="s">
        <v>38</v>
      </c>
      <c r="F112" s="1" t="s">
        <v>39</v>
      </c>
      <c r="G112" s="2">
        <v>-2990</v>
      </c>
      <c r="H112" s="2">
        <v>3760043.64</v>
      </c>
      <c r="I112" s="1" t="s">
        <v>40</v>
      </c>
      <c r="J112" s="1" t="s">
        <v>41</v>
      </c>
      <c r="K112" s="1" t="s">
        <v>252</v>
      </c>
      <c r="L112" s="1" t="s">
        <v>39</v>
      </c>
      <c r="M112" s="1" t="s">
        <v>39</v>
      </c>
      <c r="N112" s="1" t="s">
        <v>43</v>
      </c>
    </row>
    <row r="113" spans="1:14" x14ac:dyDescent="0.25">
      <c r="A113" s="1" t="s">
        <v>253</v>
      </c>
      <c r="B113" s="1" t="s">
        <v>254</v>
      </c>
      <c r="C113" s="1" t="s">
        <v>255</v>
      </c>
      <c r="D113" s="1" t="s">
        <v>37</v>
      </c>
      <c r="E113" s="1" t="s">
        <v>38</v>
      </c>
      <c r="F113" s="1" t="s">
        <v>39</v>
      </c>
      <c r="G113" s="2">
        <v>-30</v>
      </c>
      <c r="H113" s="2">
        <v>3763033.64</v>
      </c>
      <c r="I113" s="1" t="s">
        <v>40</v>
      </c>
      <c r="J113" s="1" t="s">
        <v>41</v>
      </c>
      <c r="K113" s="1" t="s">
        <v>42</v>
      </c>
      <c r="L113" s="1" t="s">
        <v>39</v>
      </c>
      <c r="M113" s="1" t="s">
        <v>39</v>
      </c>
      <c r="N113" s="1" t="s">
        <v>43</v>
      </c>
    </row>
    <row r="114" spans="1:14" x14ac:dyDescent="0.25">
      <c r="A114" s="1" t="s">
        <v>253</v>
      </c>
      <c r="B114" s="1" t="s">
        <v>254</v>
      </c>
      <c r="C114" s="1" t="s">
        <v>255</v>
      </c>
      <c r="D114" s="1" t="s">
        <v>256</v>
      </c>
      <c r="E114" s="1" t="s">
        <v>38</v>
      </c>
      <c r="F114" s="1" t="s">
        <v>39</v>
      </c>
      <c r="G114" s="2">
        <v>-3380</v>
      </c>
      <c r="H114" s="2">
        <v>3763063.64</v>
      </c>
      <c r="I114" s="1" t="s">
        <v>40</v>
      </c>
      <c r="J114" s="1" t="s">
        <v>41</v>
      </c>
      <c r="K114" s="1" t="s">
        <v>257</v>
      </c>
      <c r="L114" s="1" t="s">
        <v>39</v>
      </c>
      <c r="M114" s="1" t="s">
        <v>39</v>
      </c>
      <c r="N114" s="1" t="s">
        <v>43</v>
      </c>
    </row>
    <row r="115" spans="1:14" x14ac:dyDescent="0.25">
      <c r="A115" s="1" t="s">
        <v>258</v>
      </c>
      <c r="B115" s="1" t="s">
        <v>259</v>
      </c>
      <c r="C115" s="1" t="s">
        <v>259</v>
      </c>
      <c r="D115" s="1" t="s">
        <v>48</v>
      </c>
      <c r="E115" s="1" t="s">
        <v>38</v>
      </c>
      <c r="F115" s="1" t="s">
        <v>39</v>
      </c>
      <c r="G115" s="2">
        <v>-68</v>
      </c>
      <c r="H115" s="2">
        <v>3766443.64</v>
      </c>
      <c r="I115" s="1" t="s">
        <v>40</v>
      </c>
      <c r="J115" s="1" t="s">
        <v>49</v>
      </c>
      <c r="K115" s="1" t="s">
        <v>42</v>
      </c>
      <c r="L115" s="1" t="s">
        <v>39</v>
      </c>
      <c r="M115" s="1" t="s">
        <v>39</v>
      </c>
      <c r="N115" s="1" t="s">
        <v>43</v>
      </c>
    </row>
    <row r="116" spans="1:14" x14ac:dyDescent="0.25">
      <c r="A116" s="1" t="s">
        <v>258</v>
      </c>
      <c r="B116" s="1" t="s">
        <v>259</v>
      </c>
      <c r="C116" s="1" t="s">
        <v>259</v>
      </c>
      <c r="D116" s="1" t="s">
        <v>260</v>
      </c>
      <c r="E116" s="1" t="s">
        <v>38</v>
      </c>
      <c r="F116" s="1" t="s">
        <v>39</v>
      </c>
      <c r="G116" s="2">
        <v>-16398</v>
      </c>
      <c r="H116" s="2">
        <v>3766511.64</v>
      </c>
      <c r="I116" s="1" t="s">
        <v>40</v>
      </c>
      <c r="J116" s="1" t="s">
        <v>49</v>
      </c>
      <c r="K116" s="1" t="s">
        <v>261</v>
      </c>
      <c r="L116" s="1" t="s">
        <v>39</v>
      </c>
      <c r="M116" s="1" t="s">
        <v>262</v>
      </c>
      <c r="N116" s="1" t="s">
        <v>43</v>
      </c>
    </row>
    <row r="117" spans="1:14" x14ac:dyDescent="0.25">
      <c r="A117" s="1" t="s">
        <v>263</v>
      </c>
      <c r="B117" s="1" t="s">
        <v>264</v>
      </c>
      <c r="C117" s="1" t="s">
        <v>264</v>
      </c>
      <c r="D117" s="1" t="s">
        <v>37</v>
      </c>
      <c r="E117" s="1" t="s">
        <v>38</v>
      </c>
      <c r="F117" s="1" t="s">
        <v>39</v>
      </c>
      <c r="G117" s="2">
        <v>-68</v>
      </c>
      <c r="H117" s="2">
        <v>3782909.64</v>
      </c>
      <c r="I117" s="1" t="s">
        <v>40</v>
      </c>
      <c r="J117" s="1" t="s">
        <v>41</v>
      </c>
      <c r="K117" s="1" t="s">
        <v>42</v>
      </c>
      <c r="L117" s="1" t="s">
        <v>39</v>
      </c>
      <c r="M117" s="1" t="s">
        <v>39</v>
      </c>
      <c r="N117" s="1" t="s">
        <v>43</v>
      </c>
    </row>
    <row r="118" spans="1:14" x14ac:dyDescent="0.25">
      <c r="A118" s="1" t="s">
        <v>263</v>
      </c>
      <c r="B118" s="1" t="s">
        <v>264</v>
      </c>
      <c r="C118" s="1" t="s">
        <v>264</v>
      </c>
      <c r="D118" s="1" t="s">
        <v>265</v>
      </c>
      <c r="E118" s="1" t="s">
        <v>38</v>
      </c>
      <c r="F118" s="1" t="s">
        <v>39</v>
      </c>
      <c r="G118" s="2">
        <v>-19300</v>
      </c>
      <c r="H118" s="2">
        <v>3782977.64</v>
      </c>
      <c r="I118" s="1" t="s">
        <v>40</v>
      </c>
      <c r="J118" s="1" t="s">
        <v>41</v>
      </c>
      <c r="K118" s="1" t="s">
        <v>266</v>
      </c>
      <c r="L118" s="1" t="s">
        <v>39</v>
      </c>
      <c r="M118" s="1" t="s">
        <v>39</v>
      </c>
      <c r="N118" s="1" t="s">
        <v>43</v>
      </c>
    </row>
    <row r="119" spans="1:14" x14ac:dyDescent="0.25">
      <c r="A119" s="1" t="s">
        <v>267</v>
      </c>
      <c r="B119" s="1" t="s">
        <v>268</v>
      </c>
      <c r="C119" s="1" t="s">
        <v>268</v>
      </c>
      <c r="D119" s="1" t="s">
        <v>37</v>
      </c>
      <c r="E119" s="1" t="s">
        <v>38</v>
      </c>
      <c r="F119" s="1" t="s">
        <v>39</v>
      </c>
      <c r="G119" s="2">
        <v>-8</v>
      </c>
      <c r="H119" s="2">
        <v>3802277.64</v>
      </c>
      <c r="I119" s="1" t="s">
        <v>40</v>
      </c>
      <c r="J119" s="1" t="s">
        <v>41</v>
      </c>
      <c r="K119" s="1" t="s">
        <v>42</v>
      </c>
      <c r="L119" s="1" t="s">
        <v>39</v>
      </c>
      <c r="M119" s="1" t="s">
        <v>39</v>
      </c>
      <c r="N119" s="1" t="s">
        <v>43</v>
      </c>
    </row>
    <row r="120" spans="1:14" x14ac:dyDescent="0.25">
      <c r="A120" s="1" t="s">
        <v>267</v>
      </c>
      <c r="B120" s="1" t="s">
        <v>268</v>
      </c>
      <c r="C120" s="1" t="s">
        <v>268</v>
      </c>
      <c r="D120" s="1" t="s">
        <v>269</v>
      </c>
      <c r="E120" s="1" t="s">
        <v>38</v>
      </c>
      <c r="F120" s="1" t="s">
        <v>39</v>
      </c>
      <c r="G120" s="2">
        <v>-240</v>
      </c>
      <c r="H120" s="2">
        <v>3802285.64</v>
      </c>
      <c r="I120" s="1" t="s">
        <v>40</v>
      </c>
      <c r="J120" s="1" t="s">
        <v>41</v>
      </c>
      <c r="K120" s="1" t="s">
        <v>270</v>
      </c>
      <c r="L120" s="1" t="s">
        <v>39</v>
      </c>
      <c r="M120" s="1" t="s">
        <v>39</v>
      </c>
      <c r="N120" s="1" t="s">
        <v>43</v>
      </c>
    </row>
    <row r="121" spans="1:14" x14ac:dyDescent="0.25">
      <c r="A121" s="1" t="s">
        <v>271</v>
      </c>
      <c r="B121" s="1" t="s">
        <v>272</v>
      </c>
      <c r="C121" s="1" t="s">
        <v>272</v>
      </c>
      <c r="D121" s="1" t="s">
        <v>37</v>
      </c>
      <c r="E121" s="1" t="s">
        <v>38</v>
      </c>
      <c r="F121" s="1" t="s">
        <v>39</v>
      </c>
      <c r="G121" s="2">
        <v>-25</v>
      </c>
      <c r="H121" s="2">
        <v>3802525.64</v>
      </c>
      <c r="I121" s="1" t="s">
        <v>40</v>
      </c>
      <c r="J121" s="1" t="s">
        <v>41</v>
      </c>
      <c r="K121" s="1" t="s">
        <v>42</v>
      </c>
      <c r="L121" s="1" t="s">
        <v>39</v>
      </c>
      <c r="M121" s="1" t="s">
        <v>39</v>
      </c>
      <c r="N121" s="1" t="s">
        <v>43</v>
      </c>
    </row>
    <row r="122" spans="1:14" x14ac:dyDescent="0.25">
      <c r="A122" s="1" t="s">
        <v>271</v>
      </c>
      <c r="B122" s="1" t="s">
        <v>272</v>
      </c>
      <c r="C122" s="1" t="s">
        <v>272</v>
      </c>
      <c r="D122" s="1" t="s">
        <v>273</v>
      </c>
      <c r="E122" s="1" t="s">
        <v>38</v>
      </c>
      <c r="F122" s="1" t="s">
        <v>39</v>
      </c>
      <c r="G122" s="2">
        <v>-2000</v>
      </c>
      <c r="H122" s="2">
        <v>3802550.64</v>
      </c>
      <c r="I122" s="1" t="s">
        <v>40</v>
      </c>
      <c r="J122" s="1" t="s">
        <v>41</v>
      </c>
      <c r="K122" s="1" t="s">
        <v>274</v>
      </c>
      <c r="L122" s="1" t="s">
        <v>39</v>
      </c>
      <c r="M122" s="1" t="s">
        <v>39</v>
      </c>
      <c r="N122" s="1" t="s">
        <v>43</v>
      </c>
    </row>
    <row r="123" spans="1:14" x14ac:dyDescent="0.25">
      <c r="A123" s="1" t="s">
        <v>275</v>
      </c>
      <c r="B123" s="1" t="s">
        <v>276</v>
      </c>
      <c r="C123" s="1" t="s">
        <v>277</v>
      </c>
      <c r="D123" s="1" t="s">
        <v>278</v>
      </c>
      <c r="E123" s="1" t="s">
        <v>38</v>
      </c>
      <c r="F123" s="1" t="s">
        <v>39</v>
      </c>
      <c r="G123" s="2">
        <v>-594</v>
      </c>
      <c r="H123" s="2">
        <v>3804550.64</v>
      </c>
      <c r="I123" s="1" t="s">
        <v>40</v>
      </c>
      <c r="J123" s="1" t="s">
        <v>49</v>
      </c>
      <c r="K123" s="1" t="s">
        <v>279</v>
      </c>
      <c r="L123" s="1" t="s">
        <v>39</v>
      </c>
      <c r="M123" s="1" t="s">
        <v>280</v>
      </c>
      <c r="N123" s="1" t="s">
        <v>43</v>
      </c>
    </row>
    <row r="124" spans="1:14" x14ac:dyDescent="0.25">
      <c r="A124" s="1" t="s">
        <v>275</v>
      </c>
      <c r="B124" s="1" t="s">
        <v>276</v>
      </c>
      <c r="C124" s="1" t="s">
        <v>277</v>
      </c>
      <c r="D124" s="1" t="s">
        <v>48</v>
      </c>
      <c r="E124" s="1" t="s">
        <v>38</v>
      </c>
      <c r="F124" s="1" t="s">
        <v>39</v>
      </c>
      <c r="G124" s="2">
        <v>-13</v>
      </c>
      <c r="H124" s="2">
        <v>3805144.64</v>
      </c>
      <c r="I124" s="1" t="s">
        <v>40</v>
      </c>
      <c r="J124" s="1" t="s">
        <v>49</v>
      </c>
      <c r="K124" s="1" t="s">
        <v>42</v>
      </c>
      <c r="L124" s="1" t="s">
        <v>39</v>
      </c>
      <c r="M124" s="1" t="s">
        <v>39</v>
      </c>
      <c r="N124" s="1" t="s">
        <v>43</v>
      </c>
    </row>
    <row r="125" spans="1:14" x14ac:dyDescent="0.25">
      <c r="A125" s="1" t="s">
        <v>281</v>
      </c>
      <c r="B125" s="1" t="s">
        <v>277</v>
      </c>
      <c r="C125" s="1" t="s">
        <v>277</v>
      </c>
      <c r="D125" s="1" t="s">
        <v>48</v>
      </c>
      <c r="E125" s="1" t="s">
        <v>38</v>
      </c>
      <c r="F125" s="1" t="s">
        <v>39</v>
      </c>
      <c r="G125" s="2">
        <v>-30</v>
      </c>
      <c r="H125" s="2">
        <v>3805157.64</v>
      </c>
      <c r="I125" s="1" t="s">
        <v>40</v>
      </c>
      <c r="J125" s="1" t="s">
        <v>49</v>
      </c>
      <c r="K125" s="1" t="s">
        <v>42</v>
      </c>
      <c r="L125" s="1" t="s">
        <v>39</v>
      </c>
      <c r="M125" s="1" t="s">
        <v>39</v>
      </c>
      <c r="N125" s="1" t="s">
        <v>43</v>
      </c>
    </row>
    <row r="126" spans="1:14" x14ac:dyDescent="0.25">
      <c r="A126" s="1" t="s">
        <v>281</v>
      </c>
      <c r="B126" s="1" t="s">
        <v>277</v>
      </c>
      <c r="C126" s="1" t="s">
        <v>277</v>
      </c>
      <c r="D126" s="1" t="s">
        <v>282</v>
      </c>
      <c r="E126" s="1" t="s">
        <v>38</v>
      </c>
      <c r="F126" s="1" t="s">
        <v>39</v>
      </c>
      <c r="G126" s="2">
        <v>-2638</v>
      </c>
      <c r="H126" s="2">
        <v>3805187.64</v>
      </c>
      <c r="I126" s="1" t="s">
        <v>40</v>
      </c>
      <c r="J126" s="1" t="s">
        <v>49</v>
      </c>
      <c r="K126" s="1" t="s">
        <v>283</v>
      </c>
      <c r="L126" s="1" t="s">
        <v>39</v>
      </c>
      <c r="M126" s="1" t="s">
        <v>284</v>
      </c>
      <c r="N126" s="1" t="s">
        <v>43</v>
      </c>
    </row>
    <row r="127" spans="1:14" x14ac:dyDescent="0.25">
      <c r="A127" s="1" t="s">
        <v>285</v>
      </c>
      <c r="B127" s="1" t="s">
        <v>286</v>
      </c>
      <c r="C127" s="1" t="s">
        <v>287</v>
      </c>
      <c r="D127" s="1" t="s">
        <v>288</v>
      </c>
      <c r="E127" s="1" t="s">
        <v>38</v>
      </c>
      <c r="F127" s="1" t="s">
        <v>39</v>
      </c>
      <c r="G127" s="2">
        <v>-2455</v>
      </c>
      <c r="H127" s="2">
        <v>3807825.64</v>
      </c>
      <c r="I127" s="1" t="s">
        <v>40</v>
      </c>
      <c r="J127" s="1" t="s">
        <v>49</v>
      </c>
      <c r="K127" s="1" t="s">
        <v>289</v>
      </c>
      <c r="L127" s="1" t="s">
        <v>39</v>
      </c>
      <c r="M127" s="1" t="s">
        <v>290</v>
      </c>
      <c r="N127" s="1" t="s">
        <v>43</v>
      </c>
    </row>
    <row r="128" spans="1:14" x14ac:dyDescent="0.25">
      <c r="A128" s="1" t="s">
        <v>285</v>
      </c>
      <c r="B128" s="1" t="s">
        <v>286</v>
      </c>
      <c r="C128" s="1" t="s">
        <v>287</v>
      </c>
      <c r="D128" s="1" t="s">
        <v>48</v>
      </c>
      <c r="E128" s="1" t="s">
        <v>38</v>
      </c>
      <c r="F128" s="1" t="s">
        <v>39</v>
      </c>
      <c r="G128" s="2">
        <v>-25</v>
      </c>
      <c r="H128" s="2">
        <v>3810280.64</v>
      </c>
      <c r="I128" s="1" t="s">
        <v>40</v>
      </c>
      <c r="J128" s="1" t="s">
        <v>49</v>
      </c>
      <c r="K128" s="1" t="s">
        <v>42</v>
      </c>
      <c r="L128" s="1" t="s">
        <v>39</v>
      </c>
      <c r="M128" s="1" t="s">
        <v>39</v>
      </c>
      <c r="N128" s="1" t="s">
        <v>43</v>
      </c>
    </row>
    <row r="129" spans="1:14" x14ac:dyDescent="0.25">
      <c r="A129" s="1" t="s">
        <v>291</v>
      </c>
      <c r="B129" s="1" t="s">
        <v>286</v>
      </c>
      <c r="C129" s="1" t="s">
        <v>287</v>
      </c>
      <c r="D129" s="1" t="s">
        <v>48</v>
      </c>
      <c r="E129" s="1" t="s">
        <v>38</v>
      </c>
      <c r="F129" s="1" t="s">
        <v>39</v>
      </c>
      <c r="G129" s="2">
        <v>-18</v>
      </c>
      <c r="H129" s="2">
        <v>3810305.64</v>
      </c>
      <c r="I129" s="1" t="s">
        <v>40</v>
      </c>
      <c r="J129" s="1" t="s">
        <v>49</v>
      </c>
      <c r="K129" s="1" t="s">
        <v>42</v>
      </c>
      <c r="L129" s="1" t="s">
        <v>39</v>
      </c>
      <c r="M129" s="1" t="s">
        <v>39</v>
      </c>
      <c r="N129" s="1" t="s">
        <v>43</v>
      </c>
    </row>
    <row r="130" spans="1:14" x14ac:dyDescent="0.25">
      <c r="A130" s="1" t="s">
        <v>291</v>
      </c>
      <c r="B130" s="1" t="s">
        <v>286</v>
      </c>
      <c r="C130" s="1" t="s">
        <v>287</v>
      </c>
      <c r="D130" s="1" t="s">
        <v>292</v>
      </c>
      <c r="E130" s="1" t="s">
        <v>38</v>
      </c>
      <c r="F130" s="1" t="s">
        <v>39</v>
      </c>
      <c r="G130" s="2">
        <v>-1318</v>
      </c>
      <c r="H130" s="2">
        <v>3810323.64</v>
      </c>
      <c r="I130" s="1" t="s">
        <v>40</v>
      </c>
      <c r="J130" s="1" t="s">
        <v>49</v>
      </c>
      <c r="K130" s="1" t="s">
        <v>283</v>
      </c>
      <c r="L130" s="1" t="s">
        <v>39</v>
      </c>
      <c r="M130" s="1" t="s">
        <v>293</v>
      </c>
      <c r="N130" s="1" t="s">
        <v>43</v>
      </c>
    </row>
    <row r="131" spans="1:14" x14ac:dyDescent="0.25">
      <c r="A131" s="1" t="s">
        <v>294</v>
      </c>
      <c r="B131" s="1" t="s">
        <v>287</v>
      </c>
      <c r="C131" s="1" t="s">
        <v>287</v>
      </c>
      <c r="D131" s="1" t="s">
        <v>48</v>
      </c>
      <c r="E131" s="1" t="s">
        <v>38</v>
      </c>
      <c r="F131" s="1" t="s">
        <v>39</v>
      </c>
      <c r="G131" s="2">
        <v>-68</v>
      </c>
      <c r="H131" s="2">
        <v>3811641.64</v>
      </c>
      <c r="I131" s="1" t="s">
        <v>40</v>
      </c>
      <c r="J131" s="1" t="s">
        <v>49</v>
      </c>
      <c r="K131" s="1" t="s">
        <v>42</v>
      </c>
      <c r="L131" s="1" t="s">
        <v>39</v>
      </c>
      <c r="M131" s="1" t="s">
        <v>39</v>
      </c>
      <c r="N131" s="1" t="s">
        <v>43</v>
      </c>
    </row>
    <row r="132" spans="1:14" x14ac:dyDescent="0.25">
      <c r="A132" s="1" t="s">
        <v>294</v>
      </c>
      <c r="B132" s="1" t="s">
        <v>287</v>
      </c>
      <c r="C132" s="1" t="s">
        <v>287</v>
      </c>
      <c r="D132" s="1" t="s">
        <v>295</v>
      </c>
      <c r="E132" s="1" t="s">
        <v>38</v>
      </c>
      <c r="F132" s="1" t="s">
        <v>39</v>
      </c>
      <c r="G132" s="2">
        <v>-15236</v>
      </c>
      <c r="H132" s="2">
        <v>3811709.64</v>
      </c>
      <c r="I132" s="1" t="s">
        <v>40</v>
      </c>
      <c r="J132" s="1" t="s">
        <v>49</v>
      </c>
      <c r="K132" s="1" t="s">
        <v>283</v>
      </c>
      <c r="L132" s="1" t="s">
        <v>39</v>
      </c>
      <c r="M132" s="1" t="s">
        <v>296</v>
      </c>
      <c r="N132" s="1" t="s">
        <v>43</v>
      </c>
    </row>
    <row r="133" spans="1:14" x14ac:dyDescent="0.25">
      <c r="A133" s="1" t="s">
        <v>297</v>
      </c>
      <c r="B133" s="1" t="s">
        <v>298</v>
      </c>
      <c r="C133" s="1" t="s">
        <v>298</v>
      </c>
      <c r="D133" s="1" t="s">
        <v>48</v>
      </c>
      <c r="E133" s="1" t="s">
        <v>38</v>
      </c>
      <c r="F133" s="1" t="s">
        <v>39</v>
      </c>
      <c r="G133" s="2">
        <v>-13</v>
      </c>
      <c r="H133" s="2">
        <v>3826945.64</v>
      </c>
      <c r="I133" s="1" t="s">
        <v>40</v>
      </c>
      <c r="J133" s="1" t="s">
        <v>49</v>
      </c>
      <c r="K133" s="1" t="s">
        <v>42</v>
      </c>
      <c r="L133" s="1" t="s">
        <v>39</v>
      </c>
      <c r="M133" s="1" t="s">
        <v>39</v>
      </c>
      <c r="N133" s="1" t="s">
        <v>43</v>
      </c>
    </row>
    <row r="134" spans="1:14" x14ac:dyDescent="0.25">
      <c r="A134" s="1" t="s">
        <v>297</v>
      </c>
      <c r="B134" s="1" t="s">
        <v>298</v>
      </c>
      <c r="C134" s="1" t="s">
        <v>298</v>
      </c>
      <c r="D134" s="1" t="s">
        <v>299</v>
      </c>
      <c r="E134" s="1" t="s">
        <v>38</v>
      </c>
      <c r="F134" s="1" t="s">
        <v>39</v>
      </c>
      <c r="G134" s="2">
        <v>-594</v>
      </c>
      <c r="H134" s="2">
        <v>3826958.64</v>
      </c>
      <c r="I134" s="1" t="s">
        <v>40</v>
      </c>
      <c r="J134" s="1" t="s">
        <v>49</v>
      </c>
      <c r="K134" s="1" t="s">
        <v>283</v>
      </c>
      <c r="L134" s="1" t="s">
        <v>39</v>
      </c>
      <c r="M134" s="1" t="s">
        <v>300</v>
      </c>
      <c r="N134" s="1" t="s">
        <v>43</v>
      </c>
    </row>
    <row r="135" spans="1:14" x14ac:dyDescent="0.25">
      <c r="A135" s="1" t="s">
        <v>301</v>
      </c>
      <c r="B135" s="1" t="s">
        <v>302</v>
      </c>
      <c r="C135" s="1" t="s">
        <v>302</v>
      </c>
      <c r="D135" s="1" t="s">
        <v>48</v>
      </c>
      <c r="E135" s="1" t="s">
        <v>38</v>
      </c>
      <c r="F135" s="1" t="s">
        <v>39</v>
      </c>
      <c r="G135" s="2">
        <v>-39</v>
      </c>
      <c r="H135" s="2">
        <v>3827552.64</v>
      </c>
      <c r="I135" s="1" t="s">
        <v>40</v>
      </c>
      <c r="J135" s="1" t="s">
        <v>49</v>
      </c>
      <c r="K135" s="1" t="s">
        <v>42</v>
      </c>
      <c r="L135" s="1" t="s">
        <v>39</v>
      </c>
      <c r="M135" s="1" t="s">
        <v>39</v>
      </c>
      <c r="N135" s="1" t="s">
        <v>43</v>
      </c>
    </row>
    <row r="136" spans="1:14" x14ac:dyDescent="0.25">
      <c r="A136" s="1" t="s">
        <v>301</v>
      </c>
      <c r="B136" s="1" t="s">
        <v>302</v>
      </c>
      <c r="C136" s="1" t="s">
        <v>302</v>
      </c>
      <c r="D136" s="1" t="s">
        <v>303</v>
      </c>
      <c r="E136" s="1" t="s">
        <v>38</v>
      </c>
      <c r="F136" s="1" t="s">
        <v>39</v>
      </c>
      <c r="G136" s="2">
        <v>-4412</v>
      </c>
      <c r="H136" s="2">
        <v>3827591.64</v>
      </c>
      <c r="I136" s="1" t="s">
        <v>40</v>
      </c>
      <c r="J136" s="1" t="s">
        <v>49</v>
      </c>
      <c r="K136" s="1" t="s">
        <v>283</v>
      </c>
      <c r="L136" s="1" t="s">
        <v>39</v>
      </c>
      <c r="M136" s="1" t="s">
        <v>304</v>
      </c>
      <c r="N136" s="1" t="s">
        <v>43</v>
      </c>
    </row>
    <row r="137" spans="1:14" x14ac:dyDescent="0.25">
      <c r="A137" s="1" t="s">
        <v>305</v>
      </c>
      <c r="B137" s="1" t="s">
        <v>306</v>
      </c>
      <c r="C137" s="1" t="s">
        <v>306</v>
      </c>
      <c r="D137" s="1" t="s">
        <v>48</v>
      </c>
      <c r="E137" s="1" t="s">
        <v>38</v>
      </c>
      <c r="F137" s="1" t="s">
        <v>39</v>
      </c>
      <c r="G137" s="2">
        <v>-48</v>
      </c>
      <c r="H137" s="2">
        <v>3832003.64</v>
      </c>
      <c r="I137" s="1" t="s">
        <v>40</v>
      </c>
      <c r="J137" s="1" t="s">
        <v>49</v>
      </c>
      <c r="K137" s="1" t="s">
        <v>42</v>
      </c>
      <c r="L137" s="1" t="s">
        <v>39</v>
      </c>
      <c r="M137" s="1" t="s">
        <v>39</v>
      </c>
      <c r="N137" s="1" t="s">
        <v>43</v>
      </c>
    </row>
    <row r="138" spans="1:14" x14ac:dyDescent="0.25">
      <c r="A138" s="1" t="s">
        <v>305</v>
      </c>
      <c r="B138" s="1" t="s">
        <v>306</v>
      </c>
      <c r="C138" s="1" t="s">
        <v>306</v>
      </c>
      <c r="D138" s="1" t="s">
        <v>307</v>
      </c>
      <c r="E138" s="1" t="s">
        <v>38</v>
      </c>
      <c r="F138" s="1" t="s">
        <v>39</v>
      </c>
      <c r="G138" s="2">
        <v>-6809</v>
      </c>
      <c r="H138" s="2">
        <v>3832051.64</v>
      </c>
      <c r="I138" s="1" t="s">
        <v>40</v>
      </c>
      <c r="J138" s="1" t="s">
        <v>49</v>
      </c>
      <c r="K138" s="1" t="s">
        <v>283</v>
      </c>
      <c r="L138" s="1" t="s">
        <v>39</v>
      </c>
      <c r="M138" s="1" t="s">
        <v>308</v>
      </c>
      <c r="N138" s="1" t="s">
        <v>43</v>
      </c>
    </row>
    <row r="139" spans="1:14" x14ac:dyDescent="0.25">
      <c r="A139" s="1" t="s">
        <v>309</v>
      </c>
      <c r="B139" s="1" t="s">
        <v>310</v>
      </c>
      <c r="C139" s="1" t="s">
        <v>310</v>
      </c>
      <c r="D139" s="1" t="s">
        <v>48</v>
      </c>
      <c r="E139" s="1" t="s">
        <v>38</v>
      </c>
      <c r="F139" s="1" t="s">
        <v>39</v>
      </c>
      <c r="G139" s="2">
        <v>-8</v>
      </c>
      <c r="H139" s="2">
        <v>3838860.64</v>
      </c>
      <c r="I139" s="1" t="s">
        <v>40</v>
      </c>
      <c r="J139" s="1" t="s">
        <v>49</v>
      </c>
      <c r="K139" s="1" t="s">
        <v>42</v>
      </c>
      <c r="L139" s="1" t="s">
        <v>39</v>
      </c>
      <c r="M139" s="1" t="s">
        <v>39</v>
      </c>
      <c r="N139" s="1" t="s">
        <v>43</v>
      </c>
    </row>
    <row r="140" spans="1:14" x14ac:dyDescent="0.25">
      <c r="A140" s="1" t="s">
        <v>309</v>
      </c>
      <c r="B140" s="1" t="s">
        <v>310</v>
      </c>
      <c r="C140" s="1" t="s">
        <v>310</v>
      </c>
      <c r="D140" s="1" t="s">
        <v>311</v>
      </c>
      <c r="E140" s="1" t="s">
        <v>38</v>
      </c>
      <c r="F140" s="1" t="s">
        <v>39</v>
      </c>
      <c r="G140" s="2">
        <v>-318</v>
      </c>
      <c r="H140" s="2">
        <v>3838868.64</v>
      </c>
      <c r="I140" s="1" t="s">
        <v>40</v>
      </c>
      <c r="J140" s="1" t="s">
        <v>49</v>
      </c>
      <c r="K140" s="1" t="s">
        <v>283</v>
      </c>
      <c r="L140" s="1" t="s">
        <v>39</v>
      </c>
      <c r="M140" s="1" t="s">
        <v>312</v>
      </c>
      <c r="N140" s="1" t="s">
        <v>43</v>
      </c>
    </row>
    <row r="141" spans="1:14" x14ac:dyDescent="0.25">
      <c r="A141" s="1" t="s">
        <v>313</v>
      </c>
      <c r="B141" s="1" t="s">
        <v>314</v>
      </c>
      <c r="C141" s="1" t="s">
        <v>314</v>
      </c>
      <c r="D141" s="1" t="s">
        <v>48</v>
      </c>
      <c r="E141" s="1" t="s">
        <v>38</v>
      </c>
      <c r="F141" s="1" t="s">
        <v>39</v>
      </c>
      <c r="G141" s="2">
        <v>-48</v>
      </c>
      <c r="H141" s="2">
        <v>3839186.64</v>
      </c>
      <c r="I141" s="1" t="s">
        <v>40</v>
      </c>
      <c r="J141" s="1" t="s">
        <v>49</v>
      </c>
      <c r="K141" s="1" t="s">
        <v>42</v>
      </c>
      <c r="L141" s="1" t="s">
        <v>39</v>
      </c>
      <c r="M141" s="1" t="s">
        <v>39</v>
      </c>
      <c r="N141" s="1" t="s">
        <v>43</v>
      </c>
    </row>
    <row r="142" spans="1:14" x14ac:dyDescent="0.25">
      <c r="A142" s="1" t="s">
        <v>313</v>
      </c>
      <c r="B142" s="1" t="s">
        <v>314</v>
      </c>
      <c r="C142" s="1" t="s">
        <v>314</v>
      </c>
      <c r="D142" s="1" t="s">
        <v>315</v>
      </c>
      <c r="E142" s="1" t="s">
        <v>38</v>
      </c>
      <c r="F142" s="1" t="s">
        <v>39</v>
      </c>
      <c r="G142" s="2">
        <v>-6338</v>
      </c>
      <c r="H142" s="2">
        <v>3839234.64</v>
      </c>
      <c r="I142" s="1" t="s">
        <v>40</v>
      </c>
      <c r="J142" s="1" t="s">
        <v>49</v>
      </c>
      <c r="K142" s="1" t="s">
        <v>283</v>
      </c>
      <c r="L142" s="1" t="s">
        <v>39</v>
      </c>
      <c r="M142" s="1" t="s">
        <v>316</v>
      </c>
      <c r="N142" s="1" t="s">
        <v>43</v>
      </c>
    </row>
    <row r="143" spans="1:14" x14ac:dyDescent="0.25">
      <c r="A143" s="1" t="s">
        <v>317</v>
      </c>
      <c r="B143" s="1" t="s">
        <v>314</v>
      </c>
      <c r="C143" s="1" t="s">
        <v>318</v>
      </c>
      <c r="D143" s="1" t="s">
        <v>319</v>
      </c>
      <c r="E143" s="1" t="s">
        <v>38</v>
      </c>
      <c r="F143" s="1" t="s">
        <v>39</v>
      </c>
      <c r="G143" s="2">
        <v>-19454</v>
      </c>
      <c r="H143" s="2">
        <v>3845572.64</v>
      </c>
      <c r="I143" s="1" t="s">
        <v>40</v>
      </c>
      <c r="J143" s="1" t="s">
        <v>49</v>
      </c>
      <c r="K143" s="1" t="s">
        <v>279</v>
      </c>
      <c r="L143" s="1" t="s">
        <v>39</v>
      </c>
      <c r="M143" s="1" t="s">
        <v>320</v>
      </c>
      <c r="N143" s="1" t="s">
        <v>43</v>
      </c>
    </row>
    <row r="144" spans="1:14" x14ac:dyDescent="0.25">
      <c r="A144" s="1" t="s">
        <v>317</v>
      </c>
      <c r="B144" s="1" t="s">
        <v>314</v>
      </c>
      <c r="C144" s="1" t="s">
        <v>318</v>
      </c>
      <c r="D144" s="1" t="s">
        <v>48</v>
      </c>
      <c r="E144" s="1" t="s">
        <v>38</v>
      </c>
      <c r="F144" s="1" t="s">
        <v>39</v>
      </c>
      <c r="G144" s="2">
        <v>-68</v>
      </c>
      <c r="H144" s="2">
        <v>3865026.64</v>
      </c>
      <c r="I144" s="1" t="s">
        <v>40</v>
      </c>
      <c r="J144" s="1" t="s">
        <v>49</v>
      </c>
      <c r="K144" s="1" t="s">
        <v>42</v>
      </c>
      <c r="L144" s="1" t="s">
        <v>39</v>
      </c>
      <c r="M144" s="1" t="s">
        <v>39</v>
      </c>
      <c r="N144" s="1" t="s">
        <v>43</v>
      </c>
    </row>
    <row r="145" spans="1:14" x14ac:dyDescent="0.25">
      <c r="A145" s="1" t="s">
        <v>321</v>
      </c>
      <c r="B145" s="1" t="s">
        <v>314</v>
      </c>
      <c r="C145" s="1" t="s">
        <v>314</v>
      </c>
      <c r="D145" s="1" t="s">
        <v>48</v>
      </c>
      <c r="E145" s="1" t="s">
        <v>38</v>
      </c>
      <c r="F145" s="1" t="s">
        <v>39</v>
      </c>
      <c r="G145" s="2">
        <v>-25</v>
      </c>
      <c r="H145" s="2">
        <v>3865094.64</v>
      </c>
      <c r="I145" s="1" t="s">
        <v>40</v>
      </c>
      <c r="J145" s="1" t="s">
        <v>49</v>
      </c>
      <c r="K145" s="1" t="s">
        <v>42</v>
      </c>
      <c r="L145" s="1" t="s">
        <v>39</v>
      </c>
      <c r="M145" s="1" t="s">
        <v>39</v>
      </c>
      <c r="N145" s="1" t="s">
        <v>43</v>
      </c>
    </row>
    <row r="146" spans="1:14" x14ac:dyDescent="0.25">
      <c r="A146" s="1" t="s">
        <v>321</v>
      </c>
      <c r="B146" s="1" t="s">
        <v>314</v>
      </c>
      <c r="C146" s="1" t="s">
        <v>314</v>
      </c>
      <c r="D146" s="1" t="s">
        <v>322</v>
      </c>
      <c r="E146" s="1" t="s">
        <v>38</v>
      </c>
      <c r="F146" s="1" t="s">
        <v>39</v>
      </c>
      <c r="G146" s="2">
        <v>-2330</v>
      </c>
      <c r="H146" s="2">
        <v>3865119.64</v>
      </c>
      <c r="I146" s="1" t="s">
        <v>40</v>
      </c>
      <c r="J146" s="1" t="s">
        <v>49</v>
      </c>
      <c r="K146" s="1" t="s">
        <v>283</v>
      </c>
      <c r="L146" s="1" t="s">
        <v>39</v>
      </c>
      <c r="M146" s="1" t="s">
        <v>323</v>
      </c>
      <c r="N146" s="1" t="s">
        <v>43</v>
      </c>
    </row>
    <row r="147" spans="1:14" x14ac:dyDescent="0.25">
      <c r="A147" s="1" t="s">
        <v>324</v>
      </c>
      <c r="B147" s="1" t="s">
        <v>325</v>
      </c>
      <c r="C147" s="1" t="s">
        <v>325</v>
      </c>
      <c r="D147" s="1" t="s">
        <v>48</v>
      </c>
      <c r="E147" s="1" t="s">
        <v>38</v>
      </c>
      <c r="F147" s="1" t="s">
        <v>39</v>
      </c>
      <c r="G147" s="2">
        <v>-74</v>
      </c>
      <c r="H147" s="2">
        <v>3867449.64</v>
      </c>
      <c r="I147" s="1" t="s">
        <v>40</v>
      </c>
      <c r="J147" s="1" t="s">
        <v>49</v>
      </c>
      <c r="K147" s="1" t="s">
        <v>42</v>
      </c>
      <c r="L147" s="1" t="s">
        <v>39</v>
      </c>
      <c r="M147" s="1" t="s">
        <v>39</v>
      </c>
      <c r="N147" s="1" t="s">
        <v>43</v>
      </c>
    </row>
    <row r="148" spans="1:14" x14ac:dyDescent="0.25">
      <c r="A148" s="1" t="s">
        <v>324</v>
      </c>
      <c r="B148" s="1" t="s">
        <v>325</v>
      </c>
      <c r="C148" s="1" t="s">
        <v>325</v>
      </c>
      <c r="D148" s="1" t="s">
        <v>326</v>
      </c>
      <c r="E148" s="1" t="s">
        <v>38</v>
      </c>
      <c r="F148" s="1" t="s">
        <v>39</v>
      </c>
      <c r="G148" s="2">
        <v>-21800</v>
      </c>
      <c r="H148" s="2">
        <v>3867523.64</v>
      </c>
      <c r="I148" s="1" t="s">
        <v>40</v>
      </c>
      <c r="J148" s="1" t="s">
        <v>49</v>
      </c>
      <c r="K148" s="1" t="s">
        <v>283</v>
      </c>
      <c r="L148" s="1" t="s">
        <v>39</v>
      </c>
      <c r="M148" s="1" t="s">
        <v>327</v>
      </c>
      <c r="N148" s="1" t="s">
        <v>43</v>
      </c>
    </row>
    <row r="149" spans="1:14" x14ac:dyDescent="0.25">
      <c r="A149" s="1" t="s">
        <v>328</v>
      </c>
      <c r="B149" s="1" t="s">
        <v>329</v>
      </c>
      <c r="C149" s="1" t="s">
        <v>329</v>
      </c>
      <c r="D149" s="1" t="s">
        <v>48</v>
      </c>
      <c r="E149" s="1" t="s">
        <v>38</v>
      </c>
      <c r="F149" s="1" t="s">
        <v>39</v>
      </c>
      <c r="G149" s="2">
        <v>-13</v>
      </c>
      <c r="H149" s="2">
        <v>3889323.64</v>
      </c>
      <c r="I149" s="1" t="s">
        <v>40</v>
      </c>
      <c r="J149" s="1" t="s">
        <v>49</v>
      </c>
      <c r="K149" s="1" t="s">
        <v>42</v>
      </c>
      <c r="L149" s="1" t="s">
        <v>39</v>
      </c>
      <c r="M149" s="1" t="s">
        <v>39</v>
      </c>
      <c r="N149" s="1" t="s">
        <v>43</v>
      </c>
    </row>
    <row r="150" spans="1:14" x14ac:dyDescent="0.25">
      <c r="A150" s="1" t="s">
        <v>328</v>
      </c>
      <c r="B150" s="1" t="s">
        <v>329</v>
      </c>
      <c r="C150" s="1" t="s">
        <v>329</v>
      </c>
      <c r="D150" s="1" t="s">
        <v>330</v>
      </c>
      <c r="E150" s="1" t="s">
        <v>38</v>
      </c>
      <c r="F150" s="1" t="s">
        <v>39</v>
      </c>
      <c r="G150" s="2">
        <v>-723</v>
      </c>
      <c r="H150" s="2">
        <v>3889336.64</v>
      </c>
      <c r="I150" s="1" t="s">
        <v>40</v>
      </c>
      <c r="J150" s="1" t="s">
        <v>49</v>
      </c>
      <c r="K150" s="1" t="s">
        <v>283</v>
      </c>
      <c r="L150" s="1" t="s">
        <v>39</v>
      </c>
      <c r="M150" s="1" t="s">
        <v>331</v>
      </c>
      <c r="N150" s="1" t="s">
        <v>43</v>
      </c>
    </row>
    <row r="151" spans="1:14" x14ac:dyDescent="0.25">
      <c r="A151" s="1" t="s">
        <v>332</v>
      </c>
      <c r="B151" s="1" t="s">
        <v>333</v>
      </c>
      <c r="C151" s="1" t="s">
        <v>334</v>
      </c>
      <c r="D151" s="1" t="s">
        <v>48</v>
      </c>
      <c r="E151" s="1" t="s">
        <v>38</v>
      </c>
      <c r="F151" s="1" t="s">
        <v>39</v>
      </c>
      <c r="G151" s="2">
        <v>-48</v>
      </c>
      <c r="H151" s="2">
        <v>3890059.64</v>
      </c>
      <c r="I151" s="1" t="s">
        <v>40</v>
      </c>
      <c r="J151" s="1" t="s">
        <v>49</v>
      </c>
      <c r="K151" s="1" t="s">
        <v>42</v>
      </c>
      <c r="L151" s="1" t="s">
        <v>39</v>
      </c>
      <c r="M151" s="1" t="s">
        <v>39</v>
      </c>
      <c r="N151" s="1" t="s">
        <v>43</v>
      </c>
    </row>
    <row r="152" spans="1:14" x14ac:dyDescent="0.25">
      <c r="A152" s="1" t="s">
        <v>332</v>
      </c>
      <c r="B152" s="1" t="s">
        <v>333</v>
      </c>
      <c r="C152" s="1" t="s">
        <v>334</v>
      </c>
      <c r="D152" s="1" t="s">
        <v>335</v>
      </c>
      <c r="E152" s="1" t="s">
        <v>38</v>
      </c>
      <c r="F152" s="1" t="s">
        <v>39</v>
      </c>
      <c r="G152" s="2">
        <v>-6316</v>
      </c>
      <c r="H152" s="2">
        <v>3890107.64</v>
      </c>
      <c r="I152" s="1" t="s">
        <v>40</v>
      </c>
      <c r="J152" s="1" t="s">
        <v>49</v>
      </c>
      <c r="K152" s="1" t="s">
        <v>279</v>
      </c>
      <c r="L152" s="1" t="s">
        <v>39</v>
      </c>
      <c r="M152" s="1" t="s">
        <v>336</v>
      </c>
      <c r="N152" s="1" t="s">
        <v>43</v>
      </c>
    </row>
    <row r="153" spans="1:14" x14ac:dyDescent="0.25">
      <c r="A153" s="1" t="s">
        <v>337</v>
      </c>
      <c r="B153" s="1" t="s">
        <v>338</v>
      </c>
      <c r="C153" s="1" t="s">
        <v>338</v>
      </c>
      <c r="D153" s="1" t="s">
        <v>48</v>
      </c>
      <c r="E153" s="1" t="s">
        <v>38</v>
      </c>
      <c r="F153" s="1" t="s">
        <v>39</v>
      </c>
      <c r="G153" s="2">
        <v>-63</v>
      </c>
      <c r="H153" s="2">
        <v>3896423.64</v>
      </c>
      <c r="I153" s="1" t="s">
        <v>40</v>
      </c>
      <c r="J153" s="1" t="s">
        <v>49</v>
      </c>
      <c r="K153" s="1" t="s">
        <v>42</v>
      </c>
      <c r="L153" s="1" t="s">
        <v>39</v>
      </c>
      <c r="M153" s="1" t="s">
        <v>39</v>
      </c>
      <c r="N153" s="1" t="s">
        <v>43</v>
      </c>
    </row>
    <row r="154" spans="1:14" x14ac:dyDescent="0.25">
      <c r="A154" s="1" t="s">
        <v>337</v>
      </c>
      <c r="B154" s="1" t="s">
        <v>338</v>
      </c>
      <c r="C154" s="1" t="s">
        <v>338</v>
      </c>
      <c r="D154" s="1" t="s">
        <v>339</v>
      </c>
      <c r="E154" s="1" t="s">
        <v>38</v>
      </c>
      <c r="F154" s="1" t="s">
        <v>39</v>
      </c>
      <c r="G154" s="2">
        <v>-12531</v>
      </c>
      <c r="H154" s="2">
        <v>3896486.64</v>
      </c>
      <c r="I154" s="1" t="s">
        <v>40</v>
      </c>
      <c r="J154" s="1" t="s">
        <v>49</v>
      </c>
      <c r="K154" s="1" t="s">
        <v>283</v>
      </c>
      <c r="L154" s="1" t="s">
        <v>39</v>
      </c>
      <c r="M154" s="1" t="s">
        <v>340</v>
      </c>
      <c r="N154" s="1" t="s">
        <v>43</v>
      </c>
    </row>
    <row r="155" spans="1:14" x14ac:dyDescent="0.25">
      <c r="A155" s="1" t="s">
        <v>341</v>
      </c>
      <c r="B155" s="1" t="s">
        <v>338</v>
      </c>
      <c r="C155" s="1" t="s">
        <v>342</v>
      </c>
      <c r="D155" s="1" t="s">
        <v>343</v>
      </c>
      <c r="E155" s="1" t="s">
        <v>38</v>
      </c>
      <c r="F155" s="1" t="s">
        <v>39</v>
      </c>
      <c r="G155" s="2">
        <v>-6278</v>
      </c>
      <c r="H155" s="2">
        <v>3909017.64</v>
      </c>
      <c r="I155" s="1" t="s">
        <v>40</v>
      </c>
      <c r="J155" s="1" t="s">
        <v>49</v>
      </c>
      <c r="K155" s="1" t="s">
        <v>279</v>
      </c>
      <c r="L155" s="1" t="s">
        <v>39</v>
      </c>
      <c r="M155" s="1" t="s">
        <v>344</v>
      </c>
      <c r="N155" s="1" t="s">
        <v>43</v>
      </c>
    </row>
    <row r="156" spans="1:14" x14ac:dyDescent="0.25">
      <c r="A156" s="1" t="s">
        <v>341</v>
      </c>
      <c r="B156" s="1" t="s">
        <v>338</v>
      </c>
      <c r="C156" s="1" t="s">
        <v>342</v>
      </c>
      <c r="D156" s="1" t="s">
        <v>48</v>
      </c>
      <c r="E156" s="1" t="s">
        <v>38</v>
      </c>
      <c r="F156" s="1" t="s">
        <v>39</v>
      </c>
      <c r="G156" s="2">
        <v>-48</v>
      </c>
      <c r="H156" s="2">
        <v>3915295.64</v>
      </c>
      <c r="I156" s="1" t="s">
        <v>40</v>
      </c>
      <c r="J156" s="1" t="s">
        <v>49</v>
      </c>
      <c r="K156" s="1" t="s">
        <v>42</v>
      </c>
      <c r="L156" s="1" t="s">
        <v>39</v>
      </c>
      <c r="M156" s="1" t="s">
        <v>39</v>
      </c>
      <c r="N156" s="1" t="s">
        <v>43</v>
      </c>
    </row>
    <row r="157" spans="1:14" x14ac:dyDescent="0.25">
      <c r="A157" s="1" t="s">
        <v>345</v>
      </c>
      <c r="B157" s="1" t="s">
        <v>346</v>
      </c>
      <c r="C157" s="1" t="s">
        <v>346</v>
      </c>
      <c r="D157" s="1" t="s">
        <v>48</v>
      </c>
      <c r="E157" s="1" t="s">
        <v>38</v>
      </c>
      <c r="F157" s="1" t="s">
        <v>39</v>
      </c>
      <c r="G157" s="2">
        <v>-54</v>
      </c>
      <c r="H157" s="2">
        <v>3915343.64</v>
      </c>
      <c r="I157" s="1" t="s">
        <v>40</v>
      </c>
      <c r="J157" s="1" t="s">
        <v>49</v>
      </c>
      <c r="K157" s="1" t="s">
        <v>42</v>
      </c>
      <c r="L157" s="1" t="s">
        <v>39</v>
      </c>
      <c r="M157" s="1" t="s">
        <v>39</v>
      </c>
      <c r="N157" s="1" t="s">
        <v>43</v>
      </c>
    </row>
    <row r="158" spans="1:14" x14ac:dyDescent="0.25">
      <c r="A158" s="1" t="s">
        <v>345</v>
      </c>
      <c r="B158" s="1" t="s">
        <v>346</v>
      </c>
      <c r="C158" s="1" t="s">
        <v>346</v>
      </c>
      <c r="D158" s="1" t="s">
        <v>347</v>
      </c>
      <c r="E158" s="1" t="s">
        <v>38</v>
      </c>
      <c r="F158" s="1" t="s">
        <v>39</v>
      </c>
      <c r="G158" s="2">
        <v>-8641</v>
      </c>
      <c r="H158" s="2">
        <v>3915397.64</v>
      </c>
      <c r="I158" s="1" t="s">
        <v>40</v>
      </c>
      <c r="J158" s="1" t="s">
        <v>49</v>
      </c>
      <c r="K158" s="1" t="s">
        <v>283</v>
      </c>
      <c r="L158" s="1" t="s">
        <v>39</v>
      </c>
      <c r="M158" s="1" t="s">
        <v>348</v>
      </c>
      <c r="N158" s="1" t="s">
        <v>43</v>
      </c>
    </row>
    <row r="159" spans="1:14" x14ac:dyDescent="0.25">
      <c r="A159" s="1" t="s">
        <v>349</v>
      </c>
      <c r="B159" s="1" t="s">
        <v>350</v>
      </c>
      <c r="C159" s="1" t="s">
        <v>350</v>
      </c>
      <c r="D159" s="1" t="s">
        <v>48</v>
      </c>
      <c r="E159" s="1" t="s">
        <v>38</v>
      </c>
      <c r="F159" s="1" t="s">
        <v>39</v>
      </c>
      <c r="G159" s="2">
        <v>-39</v>
      </c>
      <c r="H159" s="2">
        <v>3924038.64</v>
      </c>
      <c r="I159" s="1" t="s">
        <v>40</v>
      </c>
      <c r="J159" s="1" t="s">
        <v>49</v>
      </c>
      <c r="K159" s="1" t="s">
        <v>42</v>
      </c>
      <c r="L159" s="1" t="s">
        <v>39</v>
      </c>
      <c r="M159" s="1" t="s">
        <v>39</v>
      </c>
      <c r="N159" s="1" t="s">
        <v>43</v>
      </c>
    </row>
    <row r="160" spans="1:14" x14ac:dyDescent="0.25">
      <c r="A160" s="1" t="s">
        <v>349</v>
      </c>
      <c r="B160" s="1" t="s">
        <v>350</v>
      </c>
      <c r="C160" s="1" t="s">
        <v>350</v>
      </c>
      <c r="D160" s="1" t="s">
        <v>351</v>
      </c>
      <c r="E160" s="1" t="s">
        <v>38</v>
      </c>
      <c r="F160" s="1" t="s">
        <v>39</v>
      </c>
      <c r="G160" s="2">
        <v>-3837</v>
      </c>
      <c r="H160" s="2">
        <v>3924077.64</v>
      </c>
      <c r="I160" s="1" t="s">
        <v>40</v>
      </c>
      <c r="J160" s="1" t="s">
        <v>49</v>
      </c>
      <c r="K160" s="1" t="s">
        <v>283</v>
      </c>
      <c r="L160" s="1" t="s">
        <v>39</v>
      </c>
      <c r="M160" s="1" t="s">
        <v>352</v>
      </c>
      <c r="N160" s="1" t="s">
        <v>43</v>
      </c>
    </row>
    <row r="161" spans="1:14" x14ac:dyDescent="0.25">
      <c r="A161" s="1" t="s">
        <v>353</v>
      </c>
      <c r="B161" s="1" t="s">
        <v>342</v>
      </c>
      <c r="C161" s="1" t="s">
        <v>354</v>
      </c>
      <c r="D161" s="1" t="s">
        <v>48</v>
      </c>
      <c r="E161" s="1" t="s">
        <v>38</v>
      </c>
      <c r="F161" s="1" t="s">
        <v>39</v>
      </c>
      <c r="G161" s="2">
        <v>-74</v>
      </c>
      <c r="H161" s="2">
        <v>3927914.64</v>
      </c>
      <c r="I161" s="1" t="s">
        <v>40</v>
      </c>
      <c r="J161" s="1" t="s">
        <v>49</v>
      </c>
      <c r="K161" s="1" t="s">
        <v>42</v>
      </c>
      <c r="L161" s="1" t="s">
        <v>39</v>
      </c>
      <c r="M161" s="1" t="s">
        <v>39</v>
      </c>
      <c r="N161" s="1" t="s">
        <v>43</v>
      </c>
    </row>
    <row r="162" spans="1:14" x14ac:dyDescent="0.25">
      <c r="A162" s="1" t="s">
        <v>353</v>
      </c>
      <c r="B162" s="1" t="s">
        <v>342</v>
      </c>
      <c r="C162" s="1" t="s">
        <v>354</v>
      </c>
      <c r="D162" s="1" t="s">
        <v>355</v>
      </c>
      <c r="E162" s="1" t="s">
        <v>38</v>
      </c>
      <c r="F162" s="1" t="s">
        <v>39</v>
      </c>
      <c r="G162" s="2">
        <v>-23875</v>
      </c>
      <c r="H162" s="2">
        <v>3927988.64</v>
      </c>
      <c r="I162" s="1" t="s">
        <v>40</v>
      </c>
      <c r="J162" s="1" t="s">
        <v>49</v>
      </c>
      <c r="K162" s="1" t="s">
        <v>283</v>
      </c>
      <c r="L162" s="1" t="s">
        <v>39</v>
      </c>
      <c r="M162" s="1" t="s">
        <v>356</v>
      </c>
      <c r="N162" s="1" t="s">
        <v>43</v>
      </c>
    </row>
    <row r="163" spans="1:14" x14ac:dyDescent="0.25">
      <c r="A163" s="1" t="s">
        <v>357</v>
      </c>
      <c r="B163" s="1" t="s">
        <v>354</v>
      </c>
      <c r="C163" s="1" t="s">
        <v>358</v>
      </c>
      <c r="D163" s="1" t="s">
        <v>48</v>
      </c>
      <c r="E163" s="1" t="s">
        <v>38</v>
      </c>
      <c r="F163" s="1" t="s">
        <v>39</v>
      </c>
      <c r="G163" s="2">
        <v>-13</v>
      </c>
      <c r="H163" s="2">
        <v>3951863.64</v>
      </c>
      <c r="I163" s="1" t="s">
        <v>40</v>
      </c>
      <c r="J163" s="1" t="s">
        <v>49</v>
      </c>
      <c r="K163" s="1" t="s">
        <v>42</v>
      </c>
      <c r="L163" s="1" t="s">
        <v>39</v>
      </c>
      <c r="M163" s="1" t="s">
        <v>39</v>
      </c>
      <c r="N163" s="1" t="s">
        <v>43</v>
      </c>
    </row>
    <row r="164" spans="1:14" x14ac:dyDescent="0.25">
      <c r="A164" s="1" t="s">
        <v>357</v>
      </c>
      <c r="B164" s="1" t="s">
        <v>354</v>
      </c>
      <c r="C164" s="1" t="s">
        <v>358</v>
      </c>
      <c r="D164" s="1" t="s">
        <v>359</v>
      </c>
      <c r="E164" s="1" t="s">
        <v>38</v>
      </c>
      <c r="F164" s="1" t="s">
        <v>39</v>
      </c>
      <c r="G164" s="2">
        <v>-860</v>
      </c>
      <c r="H164" s="2">
        <v>3951876.64</v>
      </c>
      <c r="I164" s="1" t="s">
        <v>40</v>
      </c>
      <c r="J164" s="1" t="s">
        <v>49</v>
      </c>
      <c r="K164" s="1" t="s">
        <v>289</v>
      </c>
      <c r="L164" s="1" t="s">
        <v>39</v>
      </c>
      <c r="M164" s="1" t="s">
        <v>360</v>
      </c>
      <c r="N164" s="1" t="s">
        <v>43</v>
      </c>
    </row>
    <row r="165" spans="1:14" x14ac:dyDescent="0.25">
      <c r="A165" s="1" t="s">
        <v>361</v>
      </c>
      <c r="B165" s="1" t="s">
        <v>354</v>
      </c>
      <c r="C165" s="1" t="s">
        <v>354</v>
      </c>
      <c r="D165" s="1" t="s">
        <v>48</v>
      </c>
      <c r="E165" s="1" t="s">
        <v>38</v>
      </c>
      <c r="F165" s="1" t="s">
        <v>39</v>
      </c>
      <c r="G165" s="2">
        <v>-25</v>
      </c>
      <c r="H165" s="2">
        <v>3952736.64</v>
      </c>
      <c r="I165" s="1" t="s">
        <v>40</v>
      </c>
      <c r="J165" s="1" t="s">
        <v>49</v>
      </c>
      <c r="K165" s="1" t="s">
        <v>42</v>
      </c>
      <c r="L165" s="1" t="s">
        <v>39</v>
      </c>
      <c r="M165" s="1" t="s">
        <v>39</v>
      </c>
      <c r="N165" s="1" t="s">
        <v>43</v>
      </c>
    </row>
    <row r="166" spans="1:14" x14ac:dyDescent="0.25">
      <c r="A166" s="1" t="s">
        <v>361</v>
      </c>
      <c r="B166" s="1" t="s">
        <v>354</v>
      </c>
      <c r="C166" s="1" t="s">
        <v>354</v>
      </c>
      <c r="D166" s="1" t="s">
        <v>362</v>
      </c>
      <c r="E166" s="1" t="s">
        <v>38</v>
      </c>
      <c r="F166" s="1" t="s">
        <v>39</v>
      </c>
      <c r="G166" s="2">
        <v>-2355</v>
      </c>
      <c r="H166" s="2">
        <v>3952761.64</v>
      </c>
      <c r="I166" s="1" t="s">
        <v>40</v>
      </c>
      <c r="J166" s="1" t="s">
        <v>49</v>
      </c>
      <c r="K166" s="1" t="s">
        <v>283</v>
      </c>
      <c r="L166" s="1" t="s">
        <v>39</v>
      </c>
      <c r="M166" s="1" t="s">
        <v>363</v>
      </c>
      <c r="N166" s="1" t="s">
        <v>43</v>
      </c>
    </row>
    <row r="167" spans="1:14" x14ac:dyDescent="0.25">
      <c r="A167" s="1" t="s">
        <v>364</v>
      </c>
      <c r="B167" s="1" t="s">
        <v>358</v>
      </c>
      <c r="C167" s="1" t="s">
        <v>358</v>
      </c>
      <c r="D167" s="1" t="s">
        <v>48</v>
      </c>
      <c r="E167" s="1" t="s">
        <v>38</v>
      </c>
      <c r="F167" s="1" t="s">
        <v>39</v>
      </c>
      <c r="G167" s="2">
        <v>-74</v>
      </c>
      <c r="H167" s="2">
        <v>3955116.64</v>
      </c>
      <c r="I167" s="1" t="s">
        <v>40</v>
      </c>
      <c r="J167" s="1" t="s">
        <v>49</v>
      </c>
      <c r="K167" s="1" t="s">
        <v>42</v>
      </c>
      <c r="L167" s="1" t="s">
        <v>39</v>
      </c>
      <c r="M167" s="1" t="s">
        <v>39</v>
      </c>
      <c r="N167" s="1" t="s">
        <v>43</v>
      </c>
    </row>
    <row r="168" spans="1:14" x14ac:dyDescent="0.25">
      <c r="A168" s="1" t="s">
        <v>364</v>
      </c>
      <c r="B168" s="1" t="s">
        <v>358</v>
      </c>
      <c r="C168" s="1" t="s">
        <v>358</v>
      </c>
      <c r="D168" s="1" t="s">
        <v>365</v>
      </c>
      <c r="E168" s="1" t="s">
        <v>38</v>
      </c>
      <c r="F168" s="1" t="s">
        <v>39</v>
      </c>
      <c r="G168" s="2">
        <v>-21284</v>
      </c>
      <c r="H168" s="2">
        <v>3955190.64</v>
      </c>
      <c r="I168" s="1" t="s">
        <v>40</v>
      </c>
      <c r="J168" s="1" t="s">
        <v>49</v>
      </c>
      <c r="K168" s="1" t="s">
        <v>283</v>
      </c>
      <c r="L168" s="1" t="s">
        <v>39</v>
      </c>
      <c r="M168" s="1" t="s">
        <v>366</v>
      </c>
      <c r="N168" s="1" t="s">
        <v>43</v>
      </c>
    </row>
    <row r="169" spans="1:14" x14ac:dyDescent="0.25">
      <c r="A169" s="1" t="s">
        <v>367</v>
      </c>
      <c r="B169" s="1" t="s">
        <v>368</v>
      </c>
      <c r="C169" s="1" t="s">
        <v>368</v>
      </c>
      <c r="D169" s="1" t="s">
        <v>37</v>
      </c>
      <c r="E169" s="1" t="s">
        <v>38</v>
      </c>
      <c r="F169" s="1" t="s">
        <v>39</v>
      </c>
      <c r="G169" s="2">
        <v>-3</v>
      </c>
      <c r="H169" s="2">
        <v>3976474.64</v>
      </c>
      <c r="I169" s="1" t="s">
        <v>40</v>
      </c>
      <c r="J169" s="1" t="s">
        <v>41</v>
      </c>
      <c r="K169" s="1" t="s">
        <v>42</v>
      </c>
      <c r="L169" s="1" t="s">
        <v>39</v>
      </c>
      <c r="M169" s="1" t="s">
        <v>39</v>
      </c>
      <c r="N169" s="1" t="s">
        <v>43</v>
      </c>
    </row>
    <row r="170" spans="1:14" x14ac:dyDescent="0.25">
      <c r="A170" s="1" t="s">
        <v>367</v>
      </c>
      <c r="B170" s="1" t="s">
        <v>368</v>
      </c>
      <c r="C170" s="1" t="s">
        <v>368</v>
      </c>
      <c r="D170" s="1" t="s">
        <v>369</v>
      </c>
      <c r="E170" s="1" t="s">
        <v>38</v>
      </c>
      <c r="F170" s="1" t="s">
        <v>39</v>
      </c>
      <c r="G170" s="2">
        <v>-95</v>
      </c>
      <c r="H170" s="2">
        <v>3976477.64</v>
      </c>
      <c r="I170" s="1" t="s">
        <v>40</v>
      </c>
      <c r="J170" s="1" t="s">
        <v>41</v>
      </c>
      <c r="K170" s="1" t="s">
        <v>370</v>
      </c>
      <c r="L170" s="1" t="s">
        <v>39</v>
      </c>
      <c r="M170" s="1" t="s">
        <v>39</v>
      </c>
      <c r="N170" s="1" t="s">
        <v>43</v>
      </c>
    </row>
    <row r="171" spans="1:14" x14ac:dyDescent="0.25">
      <c r="A171" s="1" t="s">
        <v>371</v>
      </c>
      <c r="B171" s="1" t="s">
        <v>372</v>
      </c>
      <c r="C171" s="1" t="s">
        <v>372</v>
      </c>
      <c r="D171" s="1" t="s">
        <v>37</v>
      </c>
      <c r="E171" s="1" t="s">
        <v>38</v>
      </c>
      <c r="F171" s="1" t="s">
        <v>39</v>
      </c>
      <c r="G171" s="2">
        <v>-8</v>
      </c>
      <c r="H171" s="2">
        <v>3976572.64</v>
      </c>
      <c r="I171" s="1" t="s">
        <v>40</v>
      </c>
      <c r="J171" s="1" t="s">
        <v>41</v>
      </c>
      <c r="K171" s="1" t="s">
        <v>42</v>
      </c>
      <c r="L171" s="1" t="s">
        <v>39</v>
      </c>
      <c r="M171" s="1" t="s">
        <v>39</v>
      </c>
      <c r="N171" s="1" t="s">
        <v>43</v>
      </c>
    </row>
    <row r="172" spans="1:14" x14ac:dyDescent="0.25">
      <c r="A172" s="1" t="s">
        <v>371</v>
      </c>
      <c r="B172" s="1" t="s">
        <v>372</v>
      </c>
      <c r="C172" s="1" t="s">
        <v>372</v>
      </c>
      <c r="D172" s="1" t="s">
        <v>373</v>
      </c>
      <c r="E172" s="1" t="s">
        <v>38</v>
      </c>
      <c r="F172" s="1" t="s">
        <v>39</v>
      </c>
      <c r="G172" s="2">
        <v>-300</v>
      </c>
      <c r="H172" s="2">
        <v>3976580.64</v>
      </c>
      <c r="I172" s="1" t="s">
        <v>40</v>
      </c>
      <c r="J172" s="1" t="s">
        <v>41</v>
      </c>
      <c r="K172" s="1" t="s">
        <v>374</v>
      </c>
      <c r="L172" s="1" t="s">
        <v>39</v>
      </c>
      <c r="M172" s="1" t="s">
        <v>39</v>
      </c>
      <c r="N172" s="1" t="s">
        <v>43</v>
      </c>
    </row>
    <row r="173" spans="1:14" x14ac:dyDescent="0.25">
      <c r="A173" s="1" t="s">
        <v>375</v>
      </c>
      <c r="B173" s="1" t="s">
        <v>376</v>
      </c>
      <c r="C173" s="1" t="s">
        <v>377</v>
      </c>
      <c r="D173" s="1" t="s">
        <v>48</v>
      </c>
      <c r="E173" s="1" t="s">
        <v>38</v>
      </c>
      <c r="F173" s="1" t="s">
        <v>39</v>
      </c>
      <c r="G173" s="2">
        <v>-8</v>
      </c>
      <c r="H173" s="2">
        <v>3976880.64</v>
      </c>
      <c r="I173" s="1" t="s">
        <v>40</v>
      </c>
      <c r="J173" s="1" t="s">
        <v>49</v>
      </c>
      <c r="K173" s="1" t="s">
        <v>42</v>
      </c>
      <c r="L173" s="1" t="s">
        <v>39</v>
      </c>
      <c r="M173" s="1" t="s">
        <v>39</v>
      </c>
      <c r="N173" s="1" t="s">
        <v>43</v>
      </c>
    </row>
    <row r="174" spans="1:14" x14ac:dyDescent="0.25">
      <c r="A174" s="1" t="s">
        <v>375</v>
      </c>
      <c r="B174" s="1" t="s">
        <v>376</v>
      </c>
      <c r="C174" s="1" t="s">
        <v>377</v>
      </c>
      <c r="D174" s="1" t="s">
        <v>378</v>
      </c>
      <c r="E174" s="1" t="s">
        <v>38</v>
      </c>
      <c r="F174" s="1" t="s">
        <v>39</v>
      </c>
      <c r="G174" s="2">
        <v>-387</v>
      </c>
      <c r="H174" s="2">
        <v>3976888.64</v>
      </c>
      <c r="I174" s="1" t="s">
        <v>40</v>
      </c>
      <c r="J174" s="1" t="s">
        <v>49</v>
      </c>
      <c r="K174" s="1" t="s">
        <v>279</v>
      </c>
      <c r="L174" s="1" t="s">
        <v>39</v>
      </c>
      <c r="M174" s="1" t="s">
        <v>379</v>
      </c>
      <c r="N174" s="1" t="s">
        <v>43</v>
      </c>
    </row>
    <row r="175" spans="1:14" x14ac:dyDescent="0.25">
      <c r="A175" s="1" t="s">
        <v>380</v>
      </c>
      <c r="B175" s="1" t="s">
        <v>381</v>
      </c>
      <c r="C175" s="1" t="s">
        <v>381</v>
      </c>
      <c r="D175" s="1" t="s">
        <v>48</v>
      </c>
      <c r="E175" s="1" t="s">
        <v>38</v>
      </c>
      <c r="F175" s="1" t="s">
        <v>39</v>
      </c>
      <c r="G175" s="2">
        <v>-63</v>
      </c>
      <c r="H175" s="2">
        <v>3977275.64</v>
      </c>
      <c r="I175" s="1" t="s">
        <v>40</v>
      </c>
      <c r="J175" s="1" t="s">
        <v>49</v>
      </c>
      <c r="K175" s="1" t="s">
        <v>42</v>
      </c>
      <c r="L175" s="1" t="s">
        <v>39</v>
      </c>
      <c r="M175" s="1" t="s">
        <v>39</v>
      </c>
      <c r="N175" s="1" t="s">
        <v>43</v>
      </c>
    </row>
    <row r="176" spans="1:14" x14ac:dyDescent="0.25">
      <c r="A176" s="1" t="s">
        <v>380</v>
      </c>
      <c r="B176" s="1" t="s">
        <v>381</v>
      </c>
      <c r="C176" s="1" t="s">
        <v>381</v>
      </c>
      <c r="D176" s="1" t="s">
        <v>382</v>
      </c>
      <c r="E176" s="1" t="s">
        <v>38</v>
      </c>
      <c r="F176" s="1" t="s">
        <v>39</v>
      </c>
      <c r="G176" s="2">
        <v>-11282</v>
      </c>
      <c r="H176" s="2">
        <v>3977338.64</v>
      </c>
      <c r="I176" s="1" t="s">
        <v>40</v>
      </c>
      <c r="J176" s="1" t="s">
        <v>49</v>
      </c>
      <c r="K176" s="1" t="s">
        <v>283</v>
      </c>
      <c r="L176" s="1" t="s">
        <v>39</v>
      </c>
      <c r="M176" s="1" t="s">
        <v>383</v>
      </c>
      <c r="N176" s="1" t="s">
        <v>43</v>
      </c>
    </row>
    <row r="177" spans="1:14" x14ac:dyDescent="0.25">
      <c r="A177" s="1" t="s">
        <v>384</v>
      </c>
      <c r="B177" s="1" t="s">
        <v>385</v>
      </c>
      <c r="C177" s="1" t="s">
        <v>386</v>
      </c>
      <c r="D177" s="1" t="s">
        <v>387</v>
      </c>
      <c r="E177" s="1" t="s">
        <v>38</v>
      </c>
      <c r="F177" s="1" t="s">
        <v>39</v>
      </c>
      <c r="G177" s="2">
        <v>-1721</v>
      </c>
      <c r="H177" s="2">
        <v>3988620.64</v>
      </c>
      <c r="I177" s="1" t="s">
        <v>40</v>
      </c>
      <c r="J177" s="1" t="s">
        <v>49</v>
      </c>
      <c r="K177" s="1" t="s">
        <v>289</v>
      </c>
      <c r="L177" s="1" t="s">
        <v>39</v>
      </c>
      <c r="M177" s="1" t="s">
        <v>388</v>
      </c>
      <c r="N177" s="1" t="s">
        <v>43</v>
      </c>
    </row>
    <row r="178" spans="1:14" x14ac:dyDescent="0.25">
      <c r="A178" s="1" t="s">
        <v>384</v>
      </c>
      <c r="B178" s="1" t="s">
        <v>385</v>
      </c>
      <c r="C178" s="1" t="s">
        <v>386</v>
      </c>
      <c r="D178" s="1" t="s">
        <v>48</v>
      </c>
      <c r="E178" s="1" t="s">
        <v>38</v>
      </c>
      <c r="F178" s="1" t="s">
        <v>39</v>
      </c>
      <c r="G178" s="2">
        <v>-25</v>
      </c>
      <c r="H178" s="2">
        <v>3990341.64</v>
      </c>
      <c r="I178" s="1" t="s">
        <v>40</v>
      </c>
      <c r="J178" s="1" t="s">
        <v>49</v>
      </c>
      <c r="K178" s="1" t="s">
        <v>42</v>
      </c>
      <c r="L178" s="1" t="s">
        <v>39</v>
      </c>
      <c r="M178" s="1" t="s">
        <v>39</v>
      </c>
      <c r="N178" s="1" t="s">
        <v>43</v>
      </c>
    </row>
    <row r="179" spans="1:14" x14ac:dyDescent="0.25">
      <c r="A179" s="1" t="s">
        <v>389</v>
      </c>
      <c r="B179" s="1" t="s">
        <v>386</v>
      </c>
      <c r="C179" s="1" t="s">
        <v>386</v>
      </c>
      <c r="D179" s="1" t="s">
        <v>48</v>
      </c>
      <c r="E179" s="1" t="s">
        <v>38</v>
      </c>
      <c r="F179" s="1" t="s">
        <v>39</v>
      </c>
      <c r="G179" s="2">
        <v>-39</v>
      </c>
      <c r="H179" s="2">
        <v>3990366.64</v>
      </c>
      <c r="I179" s="1" t="s">
        <v>40</v>
      </c>
      <c r="J179" s="1" t="s">
        <v>49</v>
      </c>
      <c r="K179" s="1" t="s">
        <v>42</v>
      </c>
      <c r="L179" s="1" t="s">
        <v>39</v>
      </c>
      <c r="M179" s="1" t="s">
        <v>39</v>
      </c>
      <c r="N179" s="1" t="s">
        <v>43</v>
      </c>
    </row>
    <row r="180" spans="1:14" x14ac:dyDescent="0.25">
      <c r="A180" s="1" t="s">
        <v>389</v>
      </c>
      <c r="B180" s="1" t="s">
        <v>386</v>
      </c>
      <c r="C180" s="1" t="s">
        <v>386</v>
      </c>
      <c r="D180" s="1" t="s">
        <v>390</v>
      </c>
      <c r="E180" s="1" t="s">
        <v>38</v>
      </c>
      <c r="F180" s="1" t="s">
        <v>39</v>
      </c>
      <c r="G180" s="2">
        <v>-3655</v>
      </c>
      <c r="H180" s="2">
        <v>3990405.64</v>
      </c>
      <c r="I180" s="1" t="s">
        <v>40</v>
      </c>
      <c r="J180" s="1" t="s">
        <v>49</v>
      </c>
      <c r="K180" s="1" t="s">
        <v>283</v>
      </c>
      <c r="L180" s="1" t="s">
        <v>39</v>
      </c>
      <c r="M180" s="1" t="s">
        <v>391</v>
      </c>
      <c r="N180" s="1" t="s">
        <v>43</v>
      </c>
    </row>
    <row r="181" spans="1:14" x14ac:dyDescent="0.25">
      <c r="A181" s="1" t="s">
        <v>392</v>
      </c>
      <c r="B181" s="1" t="s">
        <v>393</v>
      </c>
      <c r="C181" s="1" t="s">
        <v>394</v>
      </c>
      <c r="D181" s="1" t="s">
        <v>48</v>
      </c>
      <c r="E181" s="1" t="s">
        <v>38</v>
      </c>
      <c r="F181" s="1" t="s">
        <v>39</v>
      </c>
      <c r="G181" s="2">
        <v>-54</v>
      </c>
      <c r="H181" s="2">
        <v>3994060.64</v>
      </c>
      <c r="I181" s="1" t="s">
        <v>40</v>
      </c>
      <c r="J181" s="1" t="s">
        <v>49</v>
      </c>
      <c r="K181" s="1" t="s">
        <v>42</v>
      </c>
      <c r="L181" s="1" t="s">
        <v>39</v>
      </c>
      <c r="M181" s="1" t="s">
        <v>39</v>
      </c>
      <c r="N181" s="1" t="s">
        <v>43</v>
      </c>
    </row>
    <row r="182" spans="1:14" x14ac:dyDescent="0.25">
      <c r="A182" s="1" t="s">
        <v>392</v>
      </c>
      <c r="B182" s="1" t="s">
        <v>393</v>
      </c>
      <c r="C182" s="1" t="s">
        <v>394</v>
      </c>
      <c r="D182" s="1" t="s">
        <v>395</v>
      </c>
      <c r="E182" s="1" t="s">
        <v>38</v>
      </c>
      <c r="F182" s="1" t="s">
        <v>39</v>
      </c>
      <c r="G182" s="2">
        <v>-9290</v>
      </c>
      <c r="H182" s="2">
        <v>3994114.64</v>
      </c>
      <c r="I182" s="1" t="s">
        <v>40</v>
      </c>
      <c r="J182" s="1" t="s">
        <v>49</v>
      </c>
      <c r="K182" s="1" t="s">
        <v>289</v>
      </c>
      <c r="L182" s="1" t="s">
        <v>39</v>
      </c>
      <c r="M182" s="1" t="s">
        <v>396</v>
      </c>
      <c r="N182" s="1" t="s">
        <v>43</v>
      </c>
    </row>
    <row r="183" spans="1:14" x14ac:dyDescent="0.25">
      <c r="A183" s="1" t="s">
        <v>397</v>
      </c>
      <c r="B183" s="1" t="s">
        <v>398</v>
      </c>
      <c r="C183" s="1" t="s">
        <v>398</v>
      </c>
      <c r="D183" s="1" t="s">
        <v>48</v>
      </c>
      <c r="E183" s="1" t="s">
        <v>38</v>
      </c>
      <c r="F183" s="1" t="s">
        <v>39</v>
      </c>
      <c r="G183" s="2">
        <v>-30</v>
      </c>
      <c r="H183" s="2">
        <v>4003404.64</v>
      </c>
      <c r="I183" s="1" t="s">
        <v>40</v>
      </c>
      <c r="J183" s="1" t="s">
        <v>49</v>
      </c>
      <c r="K183" s="1" t="s">
        <v>42</v>
      </c>
      <c r="L183" s="1" t="s">
        <v>39</v>
      </c>
      <c r="M183" s="1" t="s">
        <v>39</v>
      </c>
      <c r="N183" s="1" t="s">
        <v>43</v>
      </c>
    </row>
    <row r="184" spans="1:14" x14ac:dyDescent="0.25">
      <c r="A184" s="1" t="s">
        <v>397</v>
      </c>
      <c r="B184" s="1" t="s">
        <v>398</v>
      </c>
      <c r="C184" s="1" t="s">
        <v>398</v>
      </c>
      <c r="D184" s="1" t="s">
        <v>399</v>
      </c>
      <c r="E184" s="1" t="s">
        <v>38</v>
      </c>
      <c r="F184" s="1" t="s">
        <v>39</v>
      </c>
      <c r="G184" s="2">
        <v>-3007</v>
      </c>
      <c r="H184" s="2">
        <v>4003434.64</v>
      </c>
      <c r="I184" s="1" t="s">
        <v>40</v>
      </c>
      <c r="J184" s="1" t="s">
        <v>49</v>
      </c>
      <c r="K184" s="1" t="s">
        <v>283</v>
      </c>
      <c r="L184" s="1" t="s">
        <v>39</v>
      </c>
      <c r="M184" s="1" t="s">
        <v>400</v>
      </c>
      <c r="N184" s="1" t="s">
        <v>43</v>
      </c>
    </row>
    <row r="185" spans="1:14" x14ac:dyDescent="0.25">
      <c r="A185" s="1" t="s">
        <v>401</v>
      </c>
      <c r="B185" s="1" t="s">
        <v>402</v>
      </c>
      <c r="C185" s="1" t="s">
        <v>402</v>
      </c>
      <c r="D185" s="1" t="s">
        <v>48</v>
      </c>
      <c r="E185" s="1" t="s">
        <v>38</v>
      </c>
      <c r="F185" s="1" t="s">
        <v>39</v>
      </c>
      <c r="G185" s="2">
        <v>-68</v>
      </c>
      <c r="H185" s="2">
        <v>4006441.64</v>
      </c>
      <c r="I185" s="1" t="s">
        <v>40</v>
      </c>
      <c r="J185" s="1" t="s">
        <v>49</v>
      </c>
      <c r="K185" s="1" t="s">
        <v>42</v>
      </c>
      <c r="L185" s="1" t="s">
        <v>39</v>
      </c>
      <c r="M185" s="1" t="s">
        <v>39</v>
      </c>
      <c r="N185" s="1" t="s">
        <v>43</v>
      </c>
    </row>
    <row r="186" spans="1:14" x14ac:dyDescent="0.25">
      <c r="A186" s="1" t="s">
        <v>401</v>
      </c>
      <c r="B186" s="1" t="s">
        <v>402</v>
      </c>
      <c r="C186" s="1" t="s">
        <v>402</v>
      </c>
      <c r="D186" s="1" t="s">
        <v>403</v>
      </c>
      <c r="E186" s="1" t="s">
        <v>38</v>
      </c>
      <c r="F186" s="1" t="s">
        <v>39</v>
      </c>
      <c r="G186" s="2">
        <v>-17720</v>
      </c>
      <c r="H186" s="2">
        <v>4006509.64</v>
      </c>
      <c r="I186" s="1" t="s">
        <v>40</v>
      </c>
      <c r="J186" s="1" t="s">
        <v>49</v>
      </c>
      <c r="K186" s="1" t="s">
        <v>283</v>
      </c>
      <c r="L186" s="1" t="s">
        <v>39</v>
      </c>
      <c r="M186" s="1" t="s">
        <v>404</v>
      </c>
      <c r="N186" s="1" t="s">
        <v>43</v>
      </c>
    </row>
    <row r="187" spans="1:14" x14ac:dyDescent="0.25">
      <c r="A187" s="1" t="s">
        <v>405</v>
      </c>
      <c r="B187" s="1" t="s">
        <v>406</v>
      </c>
      <c r="C187" s="1" t="s">
        <v>406</v>
      </c>
      <c r="D187" s="1" t="s">
        <v>48</v>
      </c>
      <c r="E187" s="1" t="s">
        <v>38</v>
      </c>
      <c r="F187" s="1" t="s">
        <v>39</v>
      </c>
      <c r="G187" s="2">
        <v>-79</v>
      </c>
      <c r="H187" s="2">
        <v>4024229.64</v>
      </c>
      <c r="I187" s="1" t="s">
        <v>40</v>
      </c>
      <c r="J187" s="1" t="s">
        <v>49</v>
      </c>
      <c r="K187" s="1" t="s">
        <v>42</v>
      </c>
      <c r="L187" s="1" t="s">
        <v>39</v>
      </c>
      <c r="M187" s="1" t="s">
        <v>39</v>
      </c>
      <c r="N187" s="1" t="s">
        <v>43</v>
      </c>
    </row>
    <row r="188" spans="1:14" x14ac:dyDescent="0.25">
      <c r="A188" s="1" t="s">
        <v>405</v>
      </c>
      <c r="B188" s="1" t="s">
        <v>406</v>
      </c>
      <c r="C188" s="1" t="s">
        <v>406</v>
      </c>
      <c r="D188" s="1" t="s">
        <v>407</v>
      </c>
      <c r="E188" s="1" t="s">
        <v>38</v>
      </c>
      <c r="F188" s="1" t="s">
        <v>39</v>
      </c>
      <c r="G188" s="2">
        <v>-27669</v>
      </c>
      <c r="H188" s="2">
        <v>4024308.64</v>
      </c>
      <c r="I188" s="1" t="s">
        <v>40</v>
      </c>
      <c r="J188" s="1" t="s">
        <v>49</v>
      </c>
      <c r="K188" s="1" t="s">
        <v>283</v>
      </c>
      <c r="L188" s="1" t="s">
        <v>39</v>
      </c>
      <c r="M188" s="1" t="s">
        <v>408</v>
      </c>
      <c r="N188" s="1" t="s">
        <v>43</v>
      </c>
    </row>
    <row r="189" spans="1:14" x14ac:dyDescent="0.25">
      <c r="A189" s="1" t="s">
        <v>409</v>
      </c>
      <c r="B189" s="1" t="s">
        <v>410</v>
      </c>
      <c r="C189" s="1" t="s">
        <v>410</v>
      </c>
      <c r="D189" s="1" t="s">
        <v>48</v>
      </c>
      <c r="E189" s="1" t="s">
        <v>38</v>
      </c>
      <c r="F189" s="1" t="s">
        <v>39</v>
      </c>
      <c r="G189" s="2">
        <v>-39</v>
      </c>
      <c r="H189" s="2">
        <v>4051977.64</v>
      </c>
      <c r="I189" s="1" t="s">
        <v>40</v>
      </c>
      <c r="J189" s="1" t="s">
        <v>49</v>
      </c>
      <c r="K189" s="1" t="s">
        <v>42</v>
      </c>
      <c r="L189" s="1" t="s">
        <v>39</v>
      </c>
      <c r="M189" s="1" t="s">
        <v>39</v>
      </c>
      <c r="N189" s="1" t="s">
        <v>43</v>
      </c>
    </row>
    <row r="190" spans="1:14" x14ac:dyDescent="0.25">
      <c r="A190" s="1" t="s">
        <v>409</v>
      </c>
      <c r="B190" s="1" t="s">
        <v>410</v>
      </c>
      <c r="C190" s="1" t="s">
        <v>410</v>
      </c>
      <c r="D190" s="1" t="s">
        <v>411</v>
      </c>
      <c r="E190" s="1" t="s">
        <v>38</v>
      </c>
      <c r="F190" s="1" t="s">
        <v>39</v>
      </c>
      <c r="G190" s="2">
        <v>-3753</v>
      </c>
      <c r="H190" s="2">
        <v>4052016.64</v>
      </c>
      <c r="I190" s="1" t="s">
        <v>40</v>
      </c>
      <c r="J190" s="1" t="s">
        <v>49</v>
      </c>
      <c r="K190" s="1" t="s">
        <v>283</v>
      </c>
      <c r="L190" s="1" t="s">
        <v>39</v>
      </c>
      <c r="M190" s="1" t="s">
        <v>412</v>
      </c>
      <c r="N190" s="1" t="s">
        <v>43</v>
      </c>
    </row>
    <row r="191" spans="1:14" x14ac:dyDescent="0.25">
      <c r="A191" s="1" t="s">
        <v>413</v>
      </c>
      <c r="B191" s="1" t="s">
        <v>414</v>
      </c>
      <c r="C191" s="1" t="s">
        <v>414</v>
      </c>
      <c r="D191" s="1" t="s">
        <v>48</v>
      </c>
      <c r="E191" s="1" t="s">
        <v>38</v>
      </c>
      <c r="F191" s="1" t="s">
        <v>39</v>
      </c>
      <c r="G191" s="2">
        <v>-48</v>
      </c>
      <c r="H191" s="2">
        <v>4055769.64</v>
      </c>
      <c r="I191" s="1" t="s">
        <v>40</v>
      </c>
      <c r="J191" s="1" t="s">
        <v>49</v>
      </c>
      <c r="K191" s="1" t="s">
        <v>42</v>
      </c>
      <c r="L191" s="1" t="s">
        <v>39</v>
      </c>
      <c r="M191" s="1" t="s">
        <v>39</v>
      </c>
      <c r="N191" s="1" t="s">
        <v>43</v>
      </c>
    </row>
    <row r="192" spans="1:14" x14ac:dyDescent="0.25">
      <c r="A192" s="1" t="s">
        <v>413</v>
      </c>
      <c r="B192" s="1" t="s">
        <v>414</v>
      </c>
      <c r="C192" s="1" t="s">
        <v>414</v>
      </c>
      <c r="D192" s="1" t="s">
        <v>415</v>
      </c>
      <c r="E192" s="1" t="s">
        <v>38</v>
      </c>
      <c r="F192" s="1" t="s">
        <v>39</v>
      </c>
      <c r="G192" s="2">
        <v>-5236</v>
      </c>
      <c r="H192" s="2">
        <v>4055817.64</v>
      </c>
      <c r="I192" s="1" t="s">
        <v>40</v>
      </c>
      <c r="J192" s="1" t="s">
        <v>49</v>
      </c>
      <c r="K192" s="1" t="s">
        <v>283</v>
      </c>
      <c r="L192" s="1" t="s">
        <v>39</v>
      </c>
      <c r="M192" s="1" t="s">
        <v>416</v>
      </c>
      <c r="N192" s="1" t="s">
        <v>43</v>
      </c>
    </row>
    <row r="193" spans="1:14" x14ac:dyDescent="0.25">
      <c r="A193" s="1" t="s">
        <v>417</v>
      </c>
      <c r="B193" s="1" t="s">
        <v>418</v>
      </c>
      <c r="C193" s="1" t="s">
        <v>418</v>
      </c>
      <c r="D193" s="1" t="s">
        <v>48</v>
      </c>
      <c r="E193" s="1" t="s">
        <v>38</v>
      </c>
      <c r="F193" s="1" t="s">
        <v>39</v>
      </c>
      <c r="G193" s="2">
        <v>-39</v>
      </c>
      <c r="H193" s="2">
        <v>4061053.64</v>
      </c>
      <c r="I193" s="1" t="s">
        <v>40</v>
      </c>
      <c r="J193" s="1" t="s">
        <v>49</v>
      </c>
      <c r="K193" s="1" t="s">
        <v>42</v>
      </c>
      <c r="L193" s="1" t="s">
        <v>39</v>
      </c>
      <c r="M193" s="1" t="s">
        <v>39</v>
      </c>
      <c r="N193" s="1" t="s">
        <v>43</v>
      </c>
    </row>
    <row r="194" spans="1:14" x14ac:dyDescent="0.25">
      <c r="A194" s="1" t="s">
        <v>417</v>
      </c>
      <c r="B194" s="1" t="s">
        <v>418</v>
      </c>
      <c r="C194" s="1" t="s">
        <v>418</v>
      </c>
      <c r="D194" s="1" t="s">
        <v>419</v>
      </c>
      <c r="E194" s="1" t="s">
        <v>38</v>
      </c>
      <c r="F194" s="1" t="s">
        <v>39</v>
      </c>
      <c r="G194" s="2">
        <v>-4888</v>
      </c>
      <c r="H194" s="2">
        <v>4061092.64</v>
      </c>
      <c r="I194" s="1" t="s">
        <v>40</v>
      </c>
      <c r="J194" s="1" t="s">
        <v>49</v>
      </c>
      <c r="K194" s="1" t="s">
        <v>283</v>
      </c>
      <c r="L194" s="1" t="s">
        <v>39</v>
      </c>
      <c r="M194" s="1" t="s">
        <v>420</v>
      </c>
      <c r="N194" s="1" t="s">
        <v>43</v>
      </c>
    </row>
    <row r="195" spans="1:14" x14ac:dyDescent="0.25">
      <c r="A195" s="1" t="s">
        <v>421</v>
      </c>
      <c r="B195" s="1" t="s">
        <v>422</v>
      </c>
      <c r="C195" s="1" t="s">
        <v>422</v>
      </c>
      <c r="D195" s="1" t="s">
        <v>48</v>
      </c>
      <c r="E195" s="1" t="s">
        <v>38</v>
      </c>
      <c r="F195" s="1" t="s">
        <v>39</v>
      </c>
      <c r="G195" s="2">
        <v>-68</v>
      </c>
      <c r="H195" s="2">
        <v>4065980.64</v>
      </c>
      <c r="I195" s="1" t="s">
        <v>40</v>
      </c>
      <c r="J195" s="1" t="s">
        <v>49</v>
      </c>
      <c r="K195" s="1" t="s">
        <v>42</v>
      </c>
      <c r="L195" s="1" t="s">
        <v>39</v>
      </c>
      <c r="M195" s="1" t="s">
        <v>39</v>
      </c>
      <c r="N195" s="1" t="s">
        <v>43</v>
      </c>
    </row>
    <row r="196" spans="1:14" x14ac:dyDescent="0.25">
      <c r="A196" s="1" t="s">
        <v>421</v>
      </c>
      <c r="B196" s="1" t="s">
        <v>422</v>
      </c>
      <c r="C196" s="1" t="s">
        <v>422</v>
      </c>
      <c r="D196" s="1" t="s">
        <v>423</v>
      </c>
      <c r="E196" s="1" t="s">
        <v>38</v>
      </c>
      <c r="F196" s="1" t="s">
        <v>39</v>
      </c>
      <c r="G196" s="2">
        <v>-16671</v>
      </c>
      <c r="H196" s="2">
        <v>4066048.64</v>
      </c>
      <c r="I196" s="1" t="s">
        <v>40</v>
      </c>
      <c r="J196" s="1" t="s">
        <v>49</v>
      </c>
      <c r="K196" s="1" t="s">
        <v>283</v>
      </c>
      <c r="L196" s="1" t="s">
        <v>39</v>
      </c>
      <c r="M196" s="1" t="s">
        <v>424</v>
      </c>
      <c r="N196" s="1" t="s">
        <v>43</v>
      </c>
    </row>
    <row r="197" spans="1:14" x14ac:dyDescent="0.25">
      <c r="A197" s="1" t="s">
        <v>425</v>
      </c>
      <c r="B197" s="1" t="s">
        <v>422</v>
      </c>
      <c r="C197" s="1" t="s">
        <v>422</v>
      </c>
      <c r="D197" s="1" t="s">
        <v>48</v>
      </c>
      <c r="E197" s="1" t="s">
        <v>38</v>
      </c>
      <c r="F197" s="1" t="s">
        <v>39</v>
      </c>
      <c r="G197" s="2">
        <v>-74</v>
      </c>
      <c r="H197" s="2">
        <v>4082719.64</v>
      </c>
      <c r="I197" s="1" t="s">
        <v>40</v>
      </c>
      <c r="J197" s="1" t="s">
        <v>49</v>
      </c>
      <c r="K197" s="1" t="s">
        <v>42</v>
      </c>
      <c r="L197" s="1" t="s">
        <v>39</v>
      </c>
      <c r="M197" s="1" t="s">
        <v>39</v>
      </c>
      <c r="N197" s="1" t="s">
        <v>43</v>
      </c>
    </row>
    <row r="198" spans="1:14" x14ac:dyDescent="0.25">
      <c r="A198" s="1" t="s">
        <v>425</v>
      </c>
      <c r="B198" s="1" t="s">
        <v>422</v>
      </c>
      <c r="C198" s="1" t="s">
        <v>422</v>
      </c>
      <c r="D198" s="1" t="s">
        <v>426</v>
      </c>
      <c r="E198" s="1" t="s">
        <v>38</v>
      </c>
      <c r="F198" s="1" t="s">
        <v>39</v>
      </c>
      <c r="G198" s="2">
        <v>-24606</v>
      </c>
      <c r="H198" s="2">
        <v>4082793.64</v>
      </c>
      <c r="I198" s="1" t="s">
        <v>40</v>
      </c>
      <c r="J198" s="1" t="s">
        <v>49</v>
      </c>
      <c r="K198" s="1" t="s">
        <v>283</v>
      </c>
      <c r="L198" s="1" t="s">
        <v>39</v>
      </c>
      <c r="M198" s="1" t="s">
        <v>427</v>
      </c>
      <c r="N198" s="1" t="s">
        <v>43</v>
      </c>
    </row>
    <row r="199" spans="1:14" x14ac:dyDescent="0.25">
      <c r="A199" s="1" t="s">
        <v>428</v>
      </c>
      <c r="B199" s="1" t="s">
        <v>429</v>
      </c>
      <c r="C199" s="1" t="s">
        <v>429</v>
      </c>
      <c r="D199" s="1" t="s">
        <v>48</v>
      </c>
      <c r="E199" s="1" t="s">
        <v>38</v>
      </c>
      <c r="F199" s="1" t="s">
        <v>39</v>
      </c>
      <c r="G199" s="2">
        <v>-68</v>
      </c>
      <c r="H199" s="2">
        <v>4107399.64</v>
      </c>
      <c r="I199" s="1" t="s">
        <v>40</v>
      </c>
      <c r="J199" s="1" t="s">
        <v>49</v>
      </c>
      <c r="K199" s="1" t="s">
        <v>42</v>
      </c>
      <c r="L199" s="1" t="s">
        <v>39</v>
      </c>
      <c r="M199" s="1" t="s">
        <v>39</v>
      </c>
      <c r="N199" s="1" t="s">
        <v>43</v>
      </c>
    </row>
    <row r="200" spans="1:14" x14ac:dyDescent="0.25">
      <c r="A200" s="1" t="s">
        <v>428</v>
      </c>
      <c r="B200" s="1" t="s">
        <v>429</v>
      </c>
      <c r="C200" s="1" t="s">
        <v>429</v>
      </c>
      <c r="D200" s="1" t="s">
        <v>430</v>
      </c>
      <c r="E200" s="1" t="s">
        <v>38</v>
      </c>
      <c r="F200" s="1" t="s">
        <v>39</v>
      </c>
      <c r="G200" s="2">
        <v>-17470</v>
      </c>
      <c r="H200" s="2">
        <v>4107467.64</v>
      </c>
      <c r="I200" s="1" t="s">
        <v>40</v>
      </c>
      <c r="J200" s="1" t="s">
        <v>49</v>
      </c>
      <c r="K200" s="1" t="s">
        <v>283</v>
      </c>
      <c r="L200" s="1" t="s">
        <v>39</v>
      </c>
      <c r="M200" s="1" t="s">
        <v>431</v>
      </c>
      <c r="N200" s="1" t="s">
        <v>43</v>
      </c>
    </row>
    <row r="201" spans="1:14" x14ac:dyDescent="0.25">
      <c r="A201" s="1" t="s">
        <v>432</v>
      </c>
      <c r="B201" s="1" t="s">
        <v>433</v>
      </c>
      <c r="C201" s="1" t="s">
        <v>433</v>
      </c>
      <c r="D201" s="1" t="s">
        <v>48</v>
      </c>
      <c r="E201" s="1" t="s">
        <v>38</v>
      </c>
      <c r="F201" s="1" t="s">
        <v>39</v>
      </c>
      <c r="G201" s="2">
        <v>-48</v>
      </c>
      <c r="H201" s="2">
        <v>4124937.64</v>
      </c>
      <c r="I201" s="1" t="s">
        <v>40</v>
      </c>
      <c r="J201" s="1" t="s">
        <v>49</v>
      </c>
      <c r="K201" s="1" t="s">
        <v>42</v>
      </c>
      <c r="L201" s="1" t="s">
        <v>39</v>
      </c>
      <c r="M201" s="1" t="s">
        <v>39</v>
      </c>
      <c r="N201" s="1" t="s">
        <v>43</v>
      </c>
    </row>
    <row r="202" spans="1:14" x14ac:dyDescent="0.25">
      <c r="A202" s="1" t="s">
        <v>432</v>
      </c>
      <c r="B202" s="1" t="s">
        <v>433</v>
      </c>
      <c r="C202" s="1" t="s">
        <v>433</v>
      </c>
      <c r="D202" s="1" t="s">
        <v>434</v>
      </c>
      <c r="E202" s="1" t="s">
        <v>38</v>
      </c>
      <c r="F202" s="1" t="s">
        <v>39</v>
      </c>
      <c r="G202" s="2">
        <v>-6203</v>
      </c>
      <c r="H202" s="2">
        <v>4124985.64</v>
      </c>
      <c r="I202" s="1" t="s">
        <v>40</v>
      </c>
      <c r="J202" s="1" t="s">
        <v>49</v>
      </c>
      <c r="K202" s="1" t="s">
        <v>283</v>
      </c>
      <c r="L202" s="1" t="s">
        <v>39</v>
      </c>
      <c r="M202" s="1" t="s">
        <v>435</v>
      </c>
      <c r="N202" s="1" t="s">
        <v>43</v>
      </c>
    </row>
    <row r="203" spans="1:14" x14ac:dyDescent="0.25">
      <c r="A203" s="1" t="s">
        <v>436</v>
      </c>
      <c r="B203" s="1" t="s">
        <v>433</v>
      </c>
      <c r="C203" s="1" t="s">
        <v>433</v>
      </c>
      <c r="D203" s="1" t="s">
        <v>48</v>
      </c>
      <c r="E203" s="1" t="s">
        <v>38</v>
      </c>
      <c r="F203" s="1" t="s">
        <v>39</v>
      </c>
      <c r="G203" s="2">
        <v>-63</v>
      </c>
      <c r="H203" s="2">
        <v>4131188.64</v>
      </c>
      <c r="I203" s="1" t="s">
        <v>40</v>
      </c>
      <c r="J203" s="1" t="s">
        <v>49</v>
      </c>
      <c r="K203" s="1" t="s">
        <v>42</v>
      </c>
      <c r="L203" s="1" t="s">
        <v>39</v>
      </c>
      <c r="M203" s="1" t="s">
        <v>39</v>
      </c>
      <c r="N203" s="1" t="s">
        <v>43</v>
      </c>
    </row>
    <row r="204" spans="1:14" x14ac:dyDescent="0.25">
      <c r="A204" s="1" t="s">
        <v>436</v>
      </c>
      <c r="B204" s="1" t="s">
        <v>433</v>
      </c>
      <c r="C204" s="1" t="s">
        <v>433</v>
      </c>
      <c r="D204" s="1" t="s">
        <v>437</v>
      </c>
      <c r="E204" s="1" t="s">
        <v>38</v>
      </c>
      <c r="F204" s="1" t="s">
        <v>39</v>
      </c>
      <c r="G204" s="2">
        <v>-10749</v>
      </c>
      <c r="H204" s="2">
        <v>4131251.64</v>
      </c>
      <c r="I204" s="1" t="s">
        <v>40</v>
      </c>
      <c r="J204" s="1" t="s">
        <v>49</v>
      </c>
      <c r="K204" s="1" t="s">
        <v>283</v>
      </c>
      <c r="L204" s="1" t="s">
        <v>39</v>
      </c>
      <c r="M204" s="1" t="s">
        <v>438</v>
      </c>
      <c r="N204" s="1" t="s">
        <v>43</v>
      </c>
    </row>
    <row r="205" spans="1:14" x14ac:dyDescent="0.25">
      <c r="A205" s="1" t="s">
        <v>439</v>
      </c>
      <c r="B205" s="1" t="s">
        <v>440</v>
      </c>
      <c r="C205" s="1" t="s">
        <v>440</v>
      </c>
      <c r="D205" s="1" t="s">
        <v>48</v>
      </c>
      <c r="E205" s="1" t="s">
        <v>38</v>
      </c>
      <c r="F205" s="1" t="s">
        <v>39</v>
      </c>
      <c r="G205" s="2">
        <v>-79</v>
      </c>
      <c r="H205" s="2">
        <v>4142000.64</v>
      </c>
      <c r="I205" s="1" t="s">
        <v>40</v>
      </c>
      <c r="J205" s="1" t="s">
        <v>49</v>
      </c>
      <c r="K205" s="1" t="s">
        <v>42</v>
      </c>
      <c r="L205" s="1" t="s">
        <v>39</v>
      </c>
      <c r="M205" s="1" t="s">
        <v>39</v>
      </c>
      <c r="N205" s="1" t="s">
        <v>43</v>
      </c>
    </row>
    <row r="206" spans="1:14" x14ac:dyDescent="0.25">
      <c r="A206" s="1" t="s">
        <v>439</v>
      </c>
      <c r="B206" s="1" t="s">
        <v>440</v>
      </c>
      <c r="C206" s="1" t="s">
        <v>440</v>
      </c>
      <c r="D206" s="1" t="s">
        <v>441</v>
      </c>
      <c r="E206" s="1" t="s">
        <v>38</v>
      </c>
      <c r="F206" s="1" t="s">
        <v>39</v>
      </c>
      <c r="G206" s="2">
        <v>-25475</v>
      </c>
      <c r="H206" s="2">
        <v>4142079.64</v>
      </c>
      <c r="I206" s="1" t="s">
        <v>40</v>
      </c>
      <c r="J206" s="1" t="s">
        <v>49</v>
      </c>
      <c r="K206" s="1" t="s">
        <v>283</v>
      </c>
      <c r="L206" s="1" t="s">
        <v>39</v>
      </c>
      <c r="M206" s="1" t="s">
        <v>442</v>
      </c>
      <c r="N206" s="1" t="s">
        <v>43</v>
      </c>
    </row>
    <row r="207" spans="1:14" x14ac:dyDescent="0.25">
      <c r="A207" s="1" t="s">
        <v>443</v>
      </c>
      <c r="B207" s="1" t="s">
        <v>444</v>
      </c>
      <c r="C207" s="1" t="s">
        <v>445</v>
      </c>
      <c r="D207" s="1" t="s">
        <v>48</v>
      </c>
      <c r="E207" s="1" t="s">
        <v>38</v>
      </c>
      <c r="F207" s="1" t="s">
        <v>39</v>
      </c>
      <c r="G207" s="2">
        <v>-63</v>
      </c>
      <c r="H207" s="2">
        <v>4167554.64</v>
      </c>
      <c r="I207" s="1" t="s">
        <v>40</v>
      </c>
      <c r="J207" s="1" t="s">
        <v>49</v>
      </c>
      <c r="K207" s="1" t="s">
        <v>42</v>
      </c>
      <c r="L207" s="1" t="s">
        <v>39</v>
      </c>
      <c r="M207" s="1" t="s">
        <v>39</v>
      </c>
      <c r="N207" s="1" t="s">
        <v>43</v>
      </c>
    </row>
    <row r="208" spans="1:14" x14ac:dyDescent="0.25">
      <c r="A208" s="1" t="s">
        <v>443</v>
      </c>
      <c r="B208" s="1" t="s">
        <v>444</v>
      </c>
      <c r="C208" s="1" t="s">
        <v>445</v>
      </c>
      <c r="D208" s="1" t="s">
        <v>446</v>
      </c>
      <c r="E208" s="1" t="s">
        <v>38</v>
      </c>
      <c r="F208" s="1" t="s">
        <v>39</v>
      </c>
      <c r="G208" s="2">
        <v>-10388</v>
      </c>
      <c r="H208" s="2">
        <v>4167617.64</v>
      </c>
      <c r="I208" s="1" t="s">
        <v>40</v>
      </c>
      <c r="J208" s="1" t="s">
        <v>49</v>
      </c>
      <c r="K208" s="1" t="s">
        <v>283</v>
      </c>
      <c r="L208" s="1" t="s">
        <v>39</v>
      </c>
      <c r="M208" s="1" t="s">
        <v>447</v>
      </c>
      <c r="N208" s="1" t="s">
        <v>43</v>
      </c>
    </row>
    <row r="209" spans="1:14" x14ac:dyDescent="0.25">
      <c r="A209" s="1" t="s">
        <v>448</v>
      </c>
      <c r="B209" s="1" t="s">
        <v>449</v>
      </c>
      <c r="C209" s="1" t="s">
        <v>449</v>
      </c>
      <c r="D209" s="1" t="s">
        <v>37</v>
      </c>
      <c r="E209" s="1" t="s">
        <v>38</v>
      </c>
      <c r="F209" s="1" t="s">
        <v>39</v>
      </c>
      <c r="G209" s="2">
        <v>-25</v>
      </c>
      <c r="H209" s="2">
        <v>4178005.64</v>
      </c>
      <c r="I209" s="1" t="s">
        <v>40</v>
      </c>
      <c r="J209" s="1" t="s">
        <v>41</v>
      </c>
      <c r="K209" s="1" t="s">
        <v>42</v>
      </c>
      <c r="L209" s="1" t="s">
        <v>39</v>
      </c>
      <c r="M209" s="1" t="s">
        <v>39</v>
      </c>
      <c r="N209" s="1" t="s">
        <v>43</v>
      </c>
    </row>
    <row r="210" spans="1:14" x14ac:dyDescent="0.25">
      <c r="A210" s="1" t="s">
        <v>448</v>
      </c>
      <c r="B210" s="1" t="s">
        <v>449</v>
      </c>
      <c r="C210" s="1" t="s">
        <v>449</v>
      </c>
      <c r="D210" s="1" t="s">
        <v>450</v>
      </c>
      <c r="E210" s="1" t="s">
        <v>38</v>
      </c>
      <c r="F210" s="1" t="s">
        <v>39</v>
      </c>
      <c r="G210" s="2">
        <v>-2295</v>
      </c>
      <c r="H210" s="2">
        <v>4178030.64</v>
      </c>
      <c r="I210" s="1" t="s">
        <v>40</v>
      </c>
      <c r="J210" s="1" t="s">
        <v>41</v>
      </c>
      <c r="K210" s="1" t="s">
        <v>451</v>
      </c>
      <c r="L210" s="1" t="s">
        <v>39</v>
      </c>
      <c r="M210" s="1" t="s">
        <v>39</v>
      </c>
      <c r="N210" s="1" t="s">
        <v>43</v>
      </c>
    </row>
    <row r="211" spans="1:14" x14ac:dyDescent="0.25">
      <c r="A211" s="1" t="s">
        <v>452</v>
      </c>
      <c r="B211" s="1" t="s">
        <v>453</v>
      </c>
      <c r="C211" s="1" t="s">
        <v>453</v>
      </c>
      <c r="D211" s="1" t="s">
        <v>37</v>
      </c>
      <c r="E211" s="1" t="s">
        <v>38</v>
      </c>
      <c r="F211" s="1" t="s">
        <v>39</v>
      </c>
      <c r="G211" s="2">
        <v>-8</v>
      </c>
      <c r="H211" s="2">
        <v>4180325.64</v>
      </c>
      <c r="I211" s="1" t="s">
        <v>40</v>
      </c>
      <c r="J211" s="1" t="s">
        <v>41</v>
      </c>
      <c r="K211" s="1" t="s">
        <v>42</v>
      </c>
      <c r="L211" s="1" t="s">
        <v>39</v>
      </c>
      <c r="M211" s="1" t="s">
        <v>39</v>
      </c>
      <c r="N211" s="1" t="s">
        <v>43</v>
      </c>
    </row>
    <row r="212" spans="1:14" x14ac:dyDescent="0.25">
      <c r="A212" s="1" t="s">
        <v>452</v>
      </c>
      <c r="B212" s="1" t="s">
        <v>453</v>
      </c>
      <c r="C212" s="1" t="s">
        <v>453</v>
      </c>
      <c r="D212" s="1" t="s">
        <v>454</v>
      </c>
      <c r="E212" s="1" t="s">
        <v>38</v>
      </c>
      <c r="F212" s="1" t="s">
        <v>39</v>
      </c>
      <c r="G212" s="2">
        <v>-225</v>
      </c>
      <c r="H212" s="2">
        <v>4180333.64</v>
      </c>
      <c r="I212" s="1" t="s">
        <v>40</v>
      </c>
      <c r="J212" s="1" t="s">
        <v>41</v>
      </c>
      <c r="K212" s="1" t="s">
        <v>455</v>
      </c>
      <c r="L212" s="1" t="s">
        <v>39</v>
      </c>
      <c r="M212" s="1" t="s">
        <v>39</v>
      </c>
      <c r="N212" s="1" t="s">
        <v>43</v>
      </c>
    </row>
    <row r="213" spans="1:14" x14ac:dyDescent="0.25">
      <c r="A213" s="1" t="s">
        <v>456</v>
      </c>
      <c r="B213" s="1" t="s">
        <v>457</v>
      </c>
      <c r="C213" s="1" t="s">
        <v>457</v>
      </c>
      <c r="D213" s="1" t="s">
        <v>37</v>
      </c>
      <c r="E213" s="1" t="s">
        <v>38</v>
      </c>
      <c r="F213" s="1" t="s">
        <v>39</v>
      </c>
      <c r="G213" s="2">
        <v>-8</v>
      </c>
      <c r="H213" s="2">
        <v>4180558.64</v>
      </c>
      <c r="I213" s="1" t="s">
        <v>40</v>
      </c>
      <c r="J213" s="1" t="s">
        <v>41</v>
      </c>
      <c r="K213" s="1" t="s">
        <v>42</v>
      </c>
      <c r="L213" s="1" t="s">
        <v>39</v>
      </c>
      <c r="M213" s="1" t="s">
        <v>39</v>
      </c>
      <c r="N213" s="1" t="s">
        <v>43</v>
      </c>
    </row>
    <row r="214" spans="1:14" x14ac:dyDescent="0.25">
      <c r="A214" s="1" t="s">
        <v>456</v>
      </c>
      <c r="B214" s="1" t="s">
        <v>457</v>
      </c>
      <c r="C214" s="1" t="s">
        <v>457</v>
      </c>
      <c r="D214" s="1" t="s">
        <v>458</v>
      </c>
      <c r="E214" s="1" t="s">
        <v>38</v>
      </c>
      <c r="F214" s="1" t="s">
        <v>39</v>
      </c>
      <c r="G214" s="2">
        <v>-310</v>
      </c>
      <c r="H214" s="2">
        <v>4180566.64</v>
      </c>
      <c r="I214" s="1" t="s">
        <v>40</v>
      </c>
      <c r="J214" s="1" t="s">
        <v>41</v>
      </c>
      <c r="K214" s="1" t="s">
        <v>459</v>
      </c>
      <c r="L214" s="1" t="s">
        <v>39</v>
      </c>
      <c r="M214" s="1" t="s">
        <v>39</v>
      </c>
      <c r="N214" s="1" t="s">
        <v>43</v>
      </c>
    </row>
    <row r="215" spans="1:14" x14ac:dyDescent="0.25">
      <c r="A215" s="1" t="s">
        <v>460</v>
      </c>
      <c r="B215" s="1" t="s">
        <v>461</v>
      </c>
      <c r="C215" s="1" t="s">
        <v>461</v>
      </c>
      <c r="D215" s="1" t="s">
        <v>48</v>
      </c>
      <c r="E215" s="1" t="s">
        <v>38</v>
      </c>
      <c r="F215" s="1" t="s">
        <v>39</v>
      </c>
      <c r="G215" s="2">
        <v>-115</v>
      </c>
      <c r="H215" s="2">
        <v>4180876.64</v>
      </c>
      <c r="I215" s="1" t="s">
        <v>40</v>
      </c>
      <c r="J215" s="1" t="s">
        <v>49</v>
      </c>
      <c r="K215" s="1" t="s">
        <v>42</v>
      </c>
      <c r="L215" s="1" t="s">
        <v>39</v>
      </c>
      <c r="M215" s="1" t="s">
        <v>39</v>
      </c>
      <c r="N215" s="1" t="s">
        <v>43</v>
      </c>
    </row>
    <row r="216" spans="1:14" x14ac:dyDescent="0.25">
      <c r="A216" s="1" t="s">
        <v>460</v>
      </c>
      <c r="B216" s="1" t="s">
        <v>461</v>
      </c>
      <c r="C216" s="1" t="s">
        <v>461</v>
      </c>
      <c r="D216" s="1" t="s">
        <v>462</v>
      </c>
      <c r="E216" s="1" t="s">
        <v>38</v>
      </c>
      <c r="F216" s="1" t="s">
        <v>39</v>
      </c>
      <c r="G216" s="2">
        <v>-73602</v>
      </c>
      <c r="H216" s="2">
        <v>4180991.64</v>
      </c>
      <c r="I216" s="1" t="s">
        <v>40</v>
      </c>
      <c r="J216" s="1" t="s">
        <v>49</v>
      </c>
      <c r="K216" s="1" t="s">
        <v>463</v>
      </c>
      <c r="L216" s="1" t="s">
        <v>39</v>
      </c>
      <c r="M216" s="1" t="s">
        <v>464</v>
      </c>
      <c r="N216" s="1" t="s">
        <v>43</v>
      </c>
    </row>
    <row r="217" spans="1:14" x14ac:dyDescent="0.25">
      <c r="A217" s="1" t="s">
        <v>465</v>
      </c>
      <c r="B217" s="1" t="s">
        <v>466</v>
      </c>
      <c r="C217" s="1" t="s">
        <v>466</v>
      </c>
      <c r="D217" s="1" t="s">
        <v>48</v>
      </c>
      <c r="E217" s="1" t="s">
        <v>38</v>
      </c>
      <c r="F217" s="1" t="s">
        <v>39</v>
      </c>
      <c r="G217" s="2">
        <v>-115</v>
      </c>
      <c r="H217" s="2">
        <v>4254593.6399999997</v>
      </c>
      <c r="I217" s="1" t="s">
        <v>40</v>
      </c>
      <c r="J217" s="1" t="s">
        <v>49</v>
      </c>
      <c r="K217" s="1" t="s">
        <v>42</v>
      </c>
      <c r="L217" s="1" t="s">
        <v>39</v>
      </c>
      <c r="M217" s="1" t="s">
        <v>39</v>
      </c>
      <c r="N217" s="1" t="s">
        <v>43</v>
      </c>
    </row>
    <row r="218" spans="1:14" x14ac:dyDescent="0.25">
      <c r="A218" s="1" t="s">
        <v>465</v>
      </c>
      <c r="B218" s="1" t="s">
        <v>466</v>
      </c>
      <c r="C218" s="1" t="s">
        <v>466</v>
      </c>
      <c r="D218" s="1" t="s">
        <v>467</v>
      </c>
      <c r="E218" s="1" t="s">
        <v>38</v>
      </c>
      <c r="F218" s="1" t="s">
        <v>39</v>
      </c>
      <c r="G218" s="2">
        <v>-92000</v>
      </c>
      <c r="H218" s="2">
        <v>4254708.6399999997</v>
      </c>
      <c r="I218" s="1" t="s">
        <v>40</v>
      </c>
      <c r="J218" s="1" t="s">
        <v>49</v>
      </c>
      <c r="K218" s="1" t="s">
        <v>228</v>
      </c>
      <c r="L218" s="1" t="s">
        <v>39</v>
      </c>
      <c r="M218" s="1" t="s">
        <v>468</v>
      </c>
      <c r="N218" s="1" t="s">
        <v>43</v>
      </c>
    </row>
    <row r="219" spans="1:14" x14ac:dyDescent="0.25">
      <c r="A219" s="1" t="s">
        <v>469</v>
      </c>
      <c r="B219" s="1" t="s">
        <v>470</v>
      </c>
      <c r="C219" s="1" t="s">
        <v>470</v>
      </c>
      <c r="D219" s="1" t="s">
        <v>37</v>
      </c>
      <c r="E219" s="1" t="s">
        <v>38</v>
      </c>
      <c r="F219" s="1" t="s">
        <v>39</v>
      </c>
      <c r="G219" s="2">
        <v>-63</v>
      </c>
      <c r="H219" s="2">
        <v>4346708.6399999997</v>
      </c>
      <c r="I219" s="1" t="s">
        <v>40</v>
      </c>
      <c r="J219" s="1" t="s">
        <v>41</v>
      </c>
      <c r="K219" s="1" t="s">
        <v>42</v>
      </c>
      <c r="L219" s="1" t="s">
        <v>39</v>
      </c>
      <c r="M219" s="1" t="s">
        <v>39</v>
      </c>
      <c r="N219" s="1" t="s">
        <v>43</v>
      </c>
    </row>
    <row r="220" spans="1:14" x14ac:dyDescent="0.25">
      <c r="A220" s="1" t="s">
        <v>469</v>
      </c>
      <c r="B220" s="1" t="s">
        <v>470</v>
      </c>
      <c r="C220" s="1" t="s">
        <v>470</v>
      </c>
      <c r="D220" s="1" t="s">
        <v>471</v>
      </c>
      <c r="E220" s="1" t="s">
        <v>38</v>
      </c>
      <c r="F220" s="1" t="s">
        <v>39</v>
      </c>
      <c r="G220" s="2">
        <v>-11859</v>
      </c>
      <c r="H220" s="2">
        <v>4346771.6399999997</v>
      </c>
      <c r="I220" s="1" t="s">
        <v>40</v>
      </c>
      <c r="J220" s="1" t="s">
        <v>41</v>
      </c>
      <c r="K220" s="1" t="s">
        <v>472</v>
      </c>
      <c r="L220" s="1" t="s">
        <v>39</v>
      </c>
      <c r="M220" s="1" t="s">
        <v>39</v>
      </c>
      <c r="N220" s="1" t="s">
        <v>43</v>
      </c>
    </row>
    <row r="221" spans="1:14" x14ac:dyDescent="0.25">
      <c r="A221" s="1" t="s">
        <v>473</v>
      </c>
      <c r="B221" s="1" t="s">
        <v>474</v>
      </c>
      <c r="C221" s="1" t="s">
        <v>474</v>
      </c>
      <c r="D221" s="1" t="s">
        <v>37</v>
      </c>
      <c r="E221" s="1" t="s">
        <v>38</v>
      </c>
      <c r="F221" s="1" t="s">
        <v>39</v>
      </c>
      <c r="G221" s="2">
        <v>-79</v>
      </c>
      <c r="H221" s="2">
        <v>4358630.6399999997</v>
      </c>
      <c r="I221" s="1" t="s">
        <v>40</v>
      </c>
      <c r="J221" s="1" t="s">
        <v>41</v>
      </c>
      <c r="K221" s="1" t="s">
        <v>42</v>
      </c>
      <c r="L221" s="1" t="s">
        <v>39</v>
      </c>
      <c r="M221" s="1" t="s">
        <v>39</v>
      </c>
      <c r="N221" s="1" t="s">
        <v>43</v>
      </c>
    </row>
    <row r="222" spans="1:14" x14ac:dyDescent="0.25">
      <c r="A222" s="1" t="s">
        <v>473</v>
      </c>
      <c r="B222" s="1" t="s">
        <v>474</v>
      </c>
      <c r="C222" s="1" t="s">
        <v>474</v>
      </c>
      <c r="D222" s="1" t="s">
        <v>475</v>
      </c>
      <c r="E222" s="1" t="s">
        <v>38</v>
      </c>
      <c r="F222" s="1" t="s">
        <v>39</v>
      </c>
      <c r="G222" s="2">
        <v>-30000</v>
      </c>
      <c r="H222" s="2">
        <v>4358709.6399999997</v>
      </c>
      <c r="I222" s="1" t="s">
        <v>40</v>
      </c>
      <c r="J222" s="1" t="s">
        <v>41</v>
      </c>
      <c r="K222" s="1" t="s">
        <v>476</v>
      </c>
      <c r="L222" s="1" t="s">
        <v>39</v>
      </c>
      <c r="M222" s="1" t="s">
        <v>39</v>
      </c>
      <c r="N222" s="1" t="s">
        <v>43</v>
      </c>
    </row>
    <row r="223" spans="1:14" x14ac:dyDescent="0.25">
      <c r="A223" s="1" t="s">
        <v>477</v>
      </c>
      <c r="B223" s="1" t="s">
        <v>478</v>
      </c>
      <c r="C223" s="1" t="s">
        <v>479</v>
      </c>
      <c r="D223" s="1" t="s">
        <v>48</v>
      </c>
      <c r="E223" s="1" t="s">
        <v>38</v>
      </c>
      <c r="F223" s="1" t="s">
        <v>39</v>
      </c>
      <c r="G223" s="2">
        <v>-79</v>
      </c>
      <c r="H223" s="2">
        <v>4388709.6399999997</v>
      </c>
      <c r="I223" s="1" t="s">
        <v>40</v>
      </c>
      <c r="J223" s="1" t="s">
        <v>49</v>
      </c>
      <c r="K223" s="1" t="s">
        <v>42</v>
      </c>
      <c r="L223" s="1" t="s">
        <v>39</v>
      </c>
      <c r="M223" s="1" t="s">
        <v>39</v>
      </c>
      <c r="N223" s="1" t="s">
        <v>43</v>
      </c>
    </row>
    <row r="224" spans="1:14" x14ac:dyDescent="0.25">
      <c r="A224" s="1" t="s">
        <v>477</v>
      </c>
      <c r="B224" s="1" t="s">
        <v>478</v>
      </c>
      <c r="C224" s="1" t="s">
        <v>479</v>
      </c>
      <c r="D224" s="1" t="s">
        <v>480</v>
      </c>
      <c r="E224" s="1" t="s">
        <v>38</v>
      </c>
      <c r="F224" s="1" t="s">
        <v>39</v>
      </c>
      <c r="G224" s="2">
        <v>-25378</v>
      </c>
      <c r="H224" s="2">
        <v>4388788.6399999997</v>
      </c>
      <c r="I224" s="1" t="s">
        <v>40</v>
      </c>
      <c r="J224" s="1" t="s">
        <v>49</v>
      </c>
      <c r="K224" s="1" t="s">
        <v>279</v>
      </c>
      <c r="L224" s="1" t="s">
        <v>39</v>
      </c>
      <c r="M224" s="1" t="s">
        <v>481</v>
      </c>
      <c r="N224" s="1" t="s">
        <v>43</v>
      </c>
    </row>
    <row r="225" spans="1:14" x14ac:dyDescent="0.25">
      <c r="A225" s="1" t="s">
        <v>482</v>
      </c>
      <c r="B225" s="1" t="s">
        <v>483</v>
      </c>
      <c r="C225" s="1" t="s">
        <v>484</v>
      </c>
      <c r="D225" s="1" t="s">
        <v>48</v>
      </c>
      <c r="E225" s="1" t="s">
        <v>38</v>
      </c>
      <c r="F225" s="1" t="s">
        <v>39</v>
      </c>
      <c r="G225" s="2">
        <v>-30</v>
      </c>
      <c r="H225" s="2">
        <v>4414166.6399999997</v>
      </c>
      <c r="I225" s="1" t="s">
        <v>40</v>
      </c>
      <c r="J225" s="1" t="s">
        <v>49</v>
      </c>
      <c r="K225" s="1" t="s">
        <v>42</v>
      </c>
      <c r="L225" s="1" t="s">
        <v>39</v>
      </c>
      <c r="M225" s="1" t="s">
        <v>39</v>
      </c>
      <c r="N225" s="1" t="s">
        <v>43</v>
      </c>
    </row>
    <row r="226" spans="1:14" x14ac:dyDescent="0.25">
      <c r="A226" s="1" t="s">
        <v>482</v>
      </c>
      <c r="B226" s="1" t="s">
        <v>483</v>
      </c>
      <c r="C226" s="1" t="s">
        <v>484</v>
      </c>
      <c r="D226" s="1" t="s">
        <v>485</v>
      </c>
      <c r="E226" s="1" t="s">
        <v>38</v>
      </c>
      <c r="F226" s="1" t="s">
        <v>39</v>
      </c>
      <c r="G226" s="2">
        <v>-3485</v>
      </c>
      <c r="H226" s="2">
        <v>4414196.6399999997</v>
      </c>
      <c r="I226" s="1" t="s">
        <v>40</v>
      </c>
      <c r="J226" s="1" t="s">
        <v>49</v>
      </c>
      <c r="K226" s="1" t="s">
        <v>279</v>
      </c>
      <c r="L226" s="1" t="s">
        <v>39</v>
      </c>
      <c r="M226" s="1" t="s">
        <v>486</v>
      </c>
      <c r="N226" s="1" t="s">
        <v>43</v>
      </c>
    </row>
    <row r="227" spans="1:14" x14ac:dyDescent="0.25">
      <c r="A227" s="1" t="s">
        <v>487</v>
      </c>
      <c r="B227" s="1" t="s">
        <v>479</v>
      </c>
      <c r="C227" s="1" t="s">
        <v>479</v>
      </c>
      <c r="D227" s="1" t="s">
        <v>48</v>
      </c>
      <c r="E227" s="1" t="s">
        <v>38</v>
      </c>
      <c r="F227" s="1" t="s">
        <v>39</v>
      </c>
      <c r="G227" s="2">
        <v>-63</v>
      </c>
      <c r="H227" s="2">
        <v>4417681.6399999997</v>
      </c>
      <c r="I227" s="1" t="s">
        <v>40</v>
      </c>
      <c r="J227" s="1" t="s">
        <v>49</v>
      </c>
      <c r="K227" s="1" t="s">
        <v>42</v>
      </c>
      <c r="L227" s="1" t="s">
        <v>39</v>
      </c>
      <c r="M227" s="1" t="s">
        <v>39</v>
      </c>
      <c r="N227" s="1" t="s">
        <v>43</v>
      </c>
    </row>
    <row r="228" spans="1:14" x14ac:dyDescent="0.25">
      <c r="A228" s="1" t="s">
        <v>487</v>
      </c>
      <c r="B228" s="1" t="s">
        <v>479</v>
      </c>
      <c r="C228" s="1" t="s">
        <v>479</v>
      </c>
      <c r="D228" s="1" t="s">
        <v>488</v>
      </c>
      <c r="E228" s="1" t="s">
        <v>38</v>
      </c>
      <c r="F228" s="1" t="s">
        <v>39</v>
      </c>
      <c r="G228" s="2">
        <v>-10668</v>
      </c>
      <c r="H228" s="2">
        <v>4417744.6399999997</v>
      </c>
      <c r="I228" s="1" t="s">
        <v>40</v>
      </c>
      <c r="J228" s="1" t="s">
        <v>49</v>
      </c>
      <c r="K228" s="1" t="s">
        <v>283</v>
      </c>
      <c r="L228" s="1" t="s">
        <v>39</v>
      </c>
      <c r="M228" s="1" t="s">
        <v>489</v>
      </c>
      <c r="N228" s="1" t="s">
        <v>43</v>
      </c>
    </row>
    <row r="229" spans="1:14" x14ac:dyDescent="0.25">
      <c r="A229" s="1" t="s">
        <v>490</v>
      </c>
      <c r="B229" s="1" t="s">
        <v>479</v>
      </c>
      <c r="C229" s="1" t="s">
        <v>491</v>
      </c>
      <c r="D229" s="1" t="s">
        <v>492</v>
      </c>
      <c r="E229" s="1" t="s">
        <v>38</v>
      </c>
      <c r="F229" s="1" t="s">
        <v>39</v>
      </c>
      <c r="G229" s="2">
        <v>-2664</v>
      </c>
      <c r="H229" s="2">
        <v>4428412.6399999997</v>
      </c>
      <c r="I229" s="1" t="s">
        <v>40</v>
      </c>
      <c r="J229" s="1" t="s">
        <v>49</v>
      </c>
      <c r="K229" s="1" t="s">
        <v>279</v>
      </c>
      <c r="L229" s="1" t="s">
        <v>39</v>
      </c>
      <c r="M229" s="1" t="s">
        <v>493</v>
      </c>
      <c r="N229" s="1" t="s">
        <v>43</v>
      </c>
    </row>
    <row r="230" spans="1:14" x14ac:dyDescent="0.25">
      <c r="A230" s="1" t="s">
        <v>490</v>
      </c>
      <c r="B230" s="1" t="s">
        <v>479</v>
      </c>
      <c r="C230" s="1" t="s">
        <v>491</v>
      </c>
      <c r="D230" s="1" t="s">
        <v>48</v>
      </c>
      <c r="E230" s="1" t="s">
        <v>38</v>
      </c>
      <c r="F230" s="1" t="s">
        <v>39</v>
      </c>
      <c r="G230" s="2">
        <v>-30</v>
      </c>
      <c r="H230" s="2">
        <v>4431076.6399999997</v>
      </c>
      <c r="I230" s="1" t="s">
        <v>40</v>
      </c>
      <c r="J230" s="1" t="s">
        <v>49</v>
      </c>
      <c r="K230" s="1" t="s">
        <v>42</v>
      </c>
      <c r="L230" s="1" t="s">
        <v>39</v>
      </c>
      <c r="M230" s="1" t="s">
        <v>39</v>
      </c>
      <c r="N230" s="1" t="s">
        <v>43</v>
      </c>
    </row>
    <row r="231" spans="1:14" x14ac:dyDescent="0.25">
      <c r="A231" s="1" t="s">
        <v>494</v>
      </c>
      <c r="B231" s="1" t="s">
        <v>484</v>
      </c>
      <c r="C231" s="1" t="s">
        <v>484</v>
      </c>
      <c r="D231" s="1" t="s">
        <v>48</v>
      </c>
      <c r="E231" s="1" t="s">
        <v>38</v>
      </c>
      <c r="F231" s="1" t="s">
        <v>39</v>
      </c>
      <c r="G231" s="2">
        <v>-30</v>
      </c>
      <c r="H231" s="2">
        <v>4431106.6399999997</v>
      </c>
      <c r="I231" s="1" t="s">
        <v>40</v>
      </c>
      <c r="J231" s="1" t="s">
        <v>49</v>
      </c>
      <c r="K231" s="1" t="s">
        <v>42</v>
      </c>
      <c r="L231" s="1" t="s">
        <v>39</v>
      </c>
      <c r="M231" s="1" t="s">
        <v>39</v>
      </c>
      <c r="N231" s="1" t="s">
        <v>43</v>
      </c>
    </row>
    <row r="232" spans="1:14" x14ac:dyDescent="0.25">
      <c r="A232" s="1" t="s">
        <v>494</v>
      </c>
      <c r="B232" s="1" t="s">
        <v>484</v>
      </c>
      <c r="C232" s="1" t="s">
        <v>484</v>
      </c>
      <c r="D232" s="1" t="s">
        <v>495</v>
      </c>
      <c r="E232" s="1" t="s">
        <v>38</v>
      </c>
      <c r="F232" s="1" t="s">
        <v>39</v>
      </c>
      <c r="G232" s="2">
        <v>-3354</v>
      </c>
      <c r="H232" s="2">
        <v>4431136.6399999997</v>
      </c>
      <c r="I232" s="1" t="s">
        <v>40</v>
      </c>
      <c r="J232" s="1" t="s">
        <v>49</v>
      </c>
      <c r="K232" s="1" t="s">
        <v>283</v>
      </c>
      <c r="L232" s="1" t="s">
        <v>39</v>
      </c>
      <c r="M232" s="1" t="s">
        <v>496</v>
      </c>
      <c r="N232" s="1" t="s">
        <v>43</v>
      </c>
    </row>
    <row r="233" spans="1:14" x14ac:dyDescent="0.25">
      <c r="A233" s="1" t="s">
        <v>497</v>
      </c>
      <c r="B233" s="1" t="s">
        <v>498</v>
      </c>
      <c r="C233" s="1" t="s">
        <v>498</v>
      </c>
      <c r="D233" s="1" t="s">
        <v>48</v>
      </c>
      <c r="E233" s="1" t="s">
        <v>38</v>
      </c>
      <c r="F233" s="1" t="s">
        <v>39</v>
      </c>
      <c r="G233" s="2">
        <v>-48</v>
      </c>
      <c r="H233" s="2">
        <v>4434490.6399999997</v>
      </c>
      <c r="I233" s="1" t="s">
        <v>40</v>
      </c>
      <c r="J233" s="1" t="s">
        <v>49</v>
      </c>
      <c r="K233" s="1" t="s">
        <v>42</v>
      </c>
      <c r="L233" s="1" t="s">
        <v>39</v>
      </c>
      <c r="M233" s="1" t="s">
        <v>39</v>
      </c>
      <c r="N233" s="1" t="s">
        <v>43</v>
      </c>
    </row>
    <row r="234" spans="1:14" x14ac:dyDescent="0.25">
      <c r="A234" s="1" t="s">
        <v>497</v>
      </c>
      <c r="B234" s="1" t="s">
        <v>498</v>
      </c>
      <c r="C234" s="1" t="s">
        <v>498</v>
      </c>
      <c r="D234" s="1" t="s">
        <v>499</v>
      </c>
      <c r="E234" s="1" t="s">
        <v>38</v>
      </c>
      <c r="F234" s="1" t="s">
        <v>39</v>
      </c>
      <c r="G234" s="2">
        <v>-7231</v>
      </c>
      <c r="H234" s="2">
        <v>4434538.6399999997</v>
      </c>
      <c r="I234" s="1" t="s">
        <v>40</v>
      </c>
      <c r="J234" s="1" t="s">
        <v>49</v>
      </c>
      <c r="K234" s="1" t="s">
        <v>283</v>
      </c>
      <c r="L234" s="1" t="s">
        <v>39</v>
      </c>
      <c r="M234" s="1" t="s">
        <v>500</v>
      </c>
      <c r="N234" s="1" t="s">
        <v>43</v>
      </c>
    </row>
    <row r="235" spans="1:14" x14ac:dyDescent="0.25">
      <c r="A235" s="1" t="s">
        <v>501</v>
      </c>
      <c r="B235" s="1" t="s">
        <v>498</v>
      </c>
      <c r="C235" s="1" t="s">
        <v>491</v>
      </c>
      <c r="D235" s="1" t="s">
        <v>502</v>
      </c>
      <c r="E235" s="1" t="s">
        <v>38</v>
      </c>
      <c r="F235" s="1" t="s">
        <v>39</v>
      </c>
      <c r="G235" s="2">
        <v>-3030</v>
      </c>
      <c r="H235" s="2">
        <v>4441769.6399999997</v>
      </c>
      <c r="I235" s="1" t="s">
        <v>40</v>
      </c>
      <c r="J235" s="1" t="s">
        <v>49</v>
      </c>
      <c r="K235" s="1" t="s">
        <v>289</v>
      </c>
      <c r="L235" s="1" t="s">
        <v>39</v>
      </c>
      <c r="M235" s="1" t="s">
        <v>503</v>
      </c>
      <c r="N235" s="1" t="s">
        <v>43</v>
      </c>
    </row>
    <row r="236" spans="1:14" x14ac:dyDescent="0.25">
      <c r="A236" s="1" t="s">
        <v>501</v>
      </c>
      <c r="B236" s="1" t="s">
        <v>498</v>
      </c>
      <c r="C236" s="1" t="s">
        <v>491</v>
      </c>
      <c r="D236" s="1" t="s">
        <v>48</v>
      </c>
      <c r="E236" s="1" t="s">
        <v>38</v>
      </c>
      <c r="F236" s="1" t="s">
        <v>39</v>
      </c>
      <c r="G236" s="2">
        <v>-30</v>
      </c>
      <c r="H236" s="2">
        <v>4444799.6399999997</v>
      </c>
      <c r="I236" s="1" t="s">
        <v>40</v>
      </c>
      <c r="J236" s="1" t="s">
        <v>49</v>
      </c>
      <c r="K236" s="1" t="s">
        <v>42</v>
      </c>
      <c r="L236" s="1" t="s">
        <v>39</v>
      </c>
      <c r="M236" s="1" t="s">
        <v>39</v>
      </c>
      <c r="N236" s="1" t="s">
        <v>43</v>
      </c>
    </row>
    <row r="237" spans="1:14" x14ac:dyDescent="0.25">
      <c r="A237" s="1" t="s">
        <v>504</v>
      </c>
      <c r="B237" s="1" t="s">
        <v>498</v>
      </c>
      <c r="C237" s="1" t="s">
        <v>498</v>
      </c>
      <c r="D237" s="1" t="s">
        <v>48</v>
      </c>
      <c r="E237" s="1" t="s">
        <v>38</v>
      </c>
      <c r="F237" s="1" t="s">
        <v>39</v>
      </c>
      <c r="G237" s="2">
        <v>-115</v>
      </c>
      <c r="H237" s="2">
        <v>4444829.6399999997</v>
      </c>
      <c r="I237" s="1" t="s">
        <v>40</v>
      </c>
      <c r="J237" s="1" t="s">
        <v>49</v>
      </c>
      <c r="K237" s="1" t="s">
        <v>42</v>
      </c>
      <c r="L237" s="1" t="s">
        <v>39</v>
      </c>
      <c r="M237" s="1" t="s">
        <v>39</v>
      </c>
      <c r="N237" s="1" t="s">
        <v>43</v>
      </c>
    </row>
    <row r="238" spans="1:14" x14ac:dyDescent="0.25">
      <c r="A238" s="1" t="s">
        <v>504</v>
      </c>
      <c r="B238" s="1" t="s">
        <v>498</v>
      </c>
      <c r="C238" s="1" t="s">
        <v>498</v>
      </c>
      <c r="D238" s="1" t="s">
        <v>505</v>
      </c>
      <c r="E238" s="1" t="s">
        <v>38</v>
      </c>
      <c r="F238" s="1" t="s">
        <v>39</v>
      </c>
      <c r="G238" s="2">
        <v>-68594</v>
      </c>
      <c r="H238" s="2">
        <v>4444944.6399999997</v>
      </c>
      <c r="I238" s="1" t="s">
        <v>40</v>
      </c>
      <c r="J238" s="1" t="s">
        <v>49</v>
      </c>
      <c r="K238" s="1" t="s">
        <v>283</v>
      </c>
      <c r="L238" s="1" t="s">
        <v>39</v>
      </c>
      <c r="M238" s="1" t="s">
        <v>506</v>
      </c>
      <c r="N238" s="1" t="s">
        <v>43</v>
      </c>
    </row>
    <row r="239" spans="1:14" x14ac:dyDescent="0.25">
      <c r="A239" s="1" t="s">
        <v>507</v>
      </c>
      <c r="B239" s="1" t="s">
        <v>498</v>
      </c>
      <c r="C239" s="1" t="s">
        <v>491</v>
      </c>
      <c r="D239" s="1" t="s">
        <v>48</v>
      </c>
      <c r="E239" s="1" t="s">
        <v>38</v>
      </c>
      <c r="F239" s="1" t="s">
        <v>39</v>
      </c>
      <c r="G239" s="2">
        <v>-48</v>
      </c>
      <c r="H239" s="2">
        <v>4513538.6399999997</v>
      </c>
      <c r="I239" s="1" t="s">
        <v>40</v>
      </c>
      <c r="J239" s="1" t="s">
        <v>49</v>
      </c>
      <c r="K239" s="1" t="s">
        <v>42</v>
      </c>
      <c r="L239" s="1" t="s">
        <v>39</v>
      </c>
      <c r="M239" s="1" t="s">
        <v>39</v>
      </c>
      <c r="N239" s="1" t="s">
        <v>43</v>
      </c>
    </row>
    <row r="240" spans="1:14" x14ac:dyDescent="0.25">
      <c r="A240" s="1" t="s">
        <v>507</v>
      </c>
      <c r="B240" s="1" t="s">
        <v>498</v>
      </c>
      <c r="C240" s="1" t="s">
        <v>491</v>
      </c>
      <c r="D240" s="1" t="s">
        <v>508</v>
      </c>
      <c r="E240" s="1" t="s">
        <v>38</v>
      </c>
      <c r="F240" s="1" t="s">
        <v>39</v>
      </c>
      <c r="G240" s="2">
        <v>-7286</v>
      </c>
      <c r="H240" s="2">
        <v>4513586.6399999997</v>
      </c>
      <c r="I240" s="1" t="s">
        <v>40</v>
      </c>
      <c r="J240" s="1" t="s">
        <v>49</v>
      </c>
      <c r="K240" s="1" t="s">
        <v>283</v>
      </c>
      <c r="L240" s="1" t="s">
        <v>39</v>
      </c>
      <c r="M240" s="1" t="s">
        <v>509</v>
      </c>
      <c r="N240" s="1" t="s">
        <v>43</v>
      </c>
    </row>
    <row r="241" spans="1:14" x14ac:dyDescent="0.25">
      <c r="A241" s="1" t="s">
        <v>510</v>
      </c>
      <c r="B241" s="1" t="s">
        <v>498</v>
      </c>
      <c r="C241" s="1" t="s">
        <v>511</v>
      </c>
      <c r="D241" s="1" t="s">
        <v>48</v>
      </c>
      <c r="E241" s="1" t="s">
        <v>38</v>
      </c>
      <c r="F241" s="1" t="s">
        <v>39</v>
      </c>
      <c r="G241" s="2">
        <v>-48</v>
      </c>
      <c r="H241" s="2">
        <v>4520872.6399999997</v>
      </c>
      <c r="I241" s="1" t="s">
        <v>40</v>
      </c>
      <c r="J241" s="1" t="s">
        <v>49</v>
      </c>
      <c r="K241" s="1" t="s">
        <v>42</v>
      </c>
      <c r="L241" s="1" t="s">
        <v>39</v>
      </c>
      <c r="M241" s="1" t="s">
        <v>39</v>
      </c>
      <c r="N241" s="1" t="s">
        <v>43</v>
      </c>
    </row>
    <row r="242" spans="1:14" x14ac:dyDescent="0.25">
      <c r="A242" s="1" t="s">
        <v>510</v>
      </c>
      <c r="B242" s="1" t="s">
        <v>498</v>
      </c>
      <c r="C242" s="1" t="s">
        <v>511</v>
      </c>
      <c r="D242" s="1" t="s">
        <v>512</v>
      </c>
      <c r="E242" s="1" t="s">
        <v>38</v>
      </c>
      <c r="F242" s="1" t="s">
        <v>39</v>
      </c>
      <c r="G242" s="2">
        <v>-6981</v>
      </c>
      <c r="H242" s="2">
        <v>4520920.6399999997</v>
      </c>
      <c r="I242" s="1" t="s">
        <v>40</v>
      </c>
      <c r="J242" s="1" t="s">
        <v>49</v>
      </c>
      <c r="K242" s="1" t="s">
        <v>279</v>
      </c>
      <c r="L242" s="1" t="s">
        <v>39</v>
      </c>
      <c r="M242" s="1" t="s">
        <v>513</v>
      </c>
      <c r="N242" s="1" t="s">
        <v>43</v>
      </c>
    </row>
    <row r="243" spans="1:14" x14ac:dyDescent="0.25">
      <c r="A243" s="1" t="s">
        <v>514</v>
      </c>
      <c r="B243" s="1" t="s">
        <v>491</v>
      </c>
      <c r="C243" s="1" t="s">
        <v>515</v>
      </c>
      <c r="D243" s="1" t="s">
        <v>378</v>
      </c>
      <c r="E243" s="1" t="s">
        <v>38</v>
      </c>
      <c r="F243" s="1" t="s">
        <v>39</v>
      </c>
      <c r="G243" s="2">
        <v>-11749</v>
      </c>
      <c r="H243" s="2">
        <v>4527901.6399999997</v>
      </c>
      <c r="I243" s="1" t="s">
        <v>40</v>
      </c>
      <c r="J243" s="1" t="s">
        <v>49</v>
      </c>
      <c r="K243" s="1" t="s">
        <v>279</v>
      </c>
      <c r="L243" s="1" t="s">
        <v>39</v>
      </c>
      <c r="M243" s="1" t="s">
        <v>379</v>
      </c>
      <c r="N243" s="1" t="s">
        <v>43</v>
      </c>
    </row>
    <row r="244" spans="1:14" x14ac:dyDescent="0.25">
      <c r="A244" s="1" t="s">
        <v>514</v>
      </c>
      <c r="B244" s="1" t="s">
        <v>491</v>
      </c>
      <c r="C244" s="1" t="s">
        <v>515</v>
      </c>
      <c r="D244" s="1" t="s">
        <v>48</v>
      </c>
      <c r="E244" s="1" t="s">
        <v>38</v>
      </c>
      <c r="F244" s="1" t="s">
        <v>39</v>
      </c>
      <c r="G244" s="2">
        <v>-63</v>
      </c>
      <c r="H244" s="2">
        <v>4539650.6399999997</v>
      </c>
      <c r="I244" s="1" t="s">
        <v>40</v>
      </c>
      <c r="J244" s="1" t="s">
        <v>49</v>
      </c>
      <c r="K244" s="1" t="s">
        <v>42</v>
      </c>
      <c r="L244" s="1" t="s">
        <v>39</v>
      </c>
      <c r="M244" s="1" t="s">
        <v>39</v>
      </c>
      <c r="N244" s="1" t="s">
        <v>43</v>
      </c>
    </row>
    <row r="245" spans="1:14" x14ac:dyDescent="0.25">
      <c r="A245" s="1" t="s">
        <v>516</v>
      </c>
      <c r="B245" s="1" t="s">
        <v>491</v>
      </c>
      <c r="C245" s="1" t="s">
        <v>491</v>
      </c>
      <c r="D245" s="1" t="s">
        <v>48</v>
      </c>
      <c r="E245" s="1" t="s">
        <v>38</v>
      </c>
      <c r="F245" s="1" t="s">
        <v>39</v>
      </c>
      <c r="G245" s="2">
        <v>-63</v>
      </c>
      <c r="H245" s="2">
        <v>4539713.6399999997</v>
      </c>
      <c r="I245" s="1" t="s">
        <v>40</v>
      </c>
      <c r="J245" s="1" t="s">
        <v>49</v>
      </c>
      <c r="K245" s="1" t="s">
        <v>42</v>
      </c>
      <c r="L245" s="1" t="s">
        <v>39</v>
      </c>
      <c r="M245" s="1" t="s">
        <v>39</v>
      </c>
      <c r="N245" s="1" t="s">
        <v>43</v>
      </c>
    </row>
    <row r="246" spans="1:14" x14ac:dyDescent="0.25">
      <c r="A246" s="1" t="s">
        <v>516</v>
      </c>
      <c r="B246" s="1" t="s">
        <v>491</v>
      </c>
      <c r="C246" s="1" t="s">
        <v>491</v>
      </c>
      <c r="D246" s="1" t="s">
        <v>517</v>
      </c>
      <c r="E246" s="1" t="s">
        <v>38</v>
      </c>
      <c r="F246" s="1" t="s">
        <v>39</v>
      </c>
      <c r="G246" s="2">
        <v>-11811</v>
      </c>
      <c r="H246" s="2">
        <v>4539776.6399999997</v>
      </c>
      <c r="I246" s="1" t="s">
        <v>40</v>
      </c>
      <c r="J246" s="1" t="s">
        <v>49</v>
      </c>
      <c r="K246" s="1" t="s">
        <v>283</v>
      </c>
      <c r="L246" s="1" t="s">
        <v>39</v>
      </c>
      <c r="M246" s="1" t="s">
        <v>518</v>
      </c>
      <c r="N246" s="1" t="s">
        <v>43</v>
      </c>
    </row>
    <row r="247" spans="1:14" x14ac:dyDescent="0.25">
      <c r="A247" s="1" t="s">
        <v>519</v>
      </c>
      <c r="B247" s="1" t="s">
        <v>491</v>
      </c>
      <c r="C247" s="1" t="s">
        <v>491</v>
      </c>
      <c r="D247" s="1" t="s">
        <v>48</v>
      </c>
      <c r="E247" s="1" t="s">
        <v>38</v>
      </c>
      <c r="F247" s="1" t="s">
        <v>39</v>
      </c>
      <c r="G247" s="2">
        <v>-25</v>
      </c>
      <c r="H247" s="2">
        <v>4551587.6399999997</v>
      </c>
      <c r="I247" s="1" t="s">
        <v>40</v>
      </c>
      <c r="J247" s="1" t="s">
        <v>49</v>
      </c>
      <c r="K247" s="1" t="s">
        <v>42</v>
      </c>
      <c r="L247" s="1" t="s">
        <v>39</v>
      </c>
      <c r="M247" s="1" t="s">
        <v>39</v>
      </c>
      <c r="N247" s="1" t="s">
        <v>43</v>
      </c>
    </row>
    <row r="248" spans="1:14" x14ac:dyDescent="0.25">
      <c r="A248" s="1" t="s">
        <v>519</v>
      </c>
      <c r="B248" s="1" t="s">
        <v>491</v>
      </c>
      <c r="C248" s="1" t="s">
        <v>491</v>
      </c>
      <c r="D248" s="1" t="s">
        <v>520</v>
      </c>
      <c r="E248" s="1" t="s">
        <v>38</v>
      </c>
      <c r="F248" s="1" t="s">
        <v>39</v>
      </c>
      <c r="G248" s="2">
        <v>-1595</v>
      </c>
      <c r="H248" s="2">
        <v>4551612.6399999997</v>
      </c>
      <c r="I248" s="1" t="s">
        <v>40</v>
      </c>
      <c r="J248" s="1" t="s">
        <v>49</v>
      </c>
      <c r="K248" s="1" t="s">
        <v>283</v>
      </c>
      <c r="L248" s="1" t="s">
        <v>39</v>
      </c>
      <c r="M248" s="1" t="s">
        <v>521</v>
      </c>
      <c r="N248" s="1" t="s">
        <v>43</v>
      </c>
    </row>
    <row r="249" spans="1:14" x14ac:dyDescent="0.25">
      <c r="A249" s="1" t="s">
        <v>522</v>
      </c>
      <c r="B249" s="1" t="s">
        <v>491</v>
      </c>
      <c r="C249" s="1" t="s">
        <v>515</v>
      </c>
      <c r="D249" s="1" t="s">
        <v>48</v>
      </c>
      <c r="E249" s="1" t="s">
        <v>38</v>
      </c>
      <c r="F249" s="1" t="s">
        <v>39</v>
      </c>
      <c r="G249" s="2">
        <v>-48</v>
      </c>
      <c r="H249" s="2">
        <v>4553207.6399999997</v>
      </c>
      <c r="I249" s="1" t="s">
        <v>40</v>
      </c>
      <c r="J249" s="1" t="s">
        <v>49</v>
      </c>
      <c r="K249" s="1" t="s">
        <v>42</v>
      </c>
      <c r="L249" s="1" t="s">
        <v>39</v>
      </c>
      <c r="M249" s="1" t="s">
        <v>39</v>
      </c>
      <c r="N249" s="1" t="s">
        <v>43</v>
      </c>
    </row>
    <row r="250" spans="1:14" x14ac:dyDescent="0.25">
      <c r="A250" s="1" t="s">
        <v>522</v>
      </c>
      <c r="B250" s="1" t="s">
        <v>491</v>
      </c>
      <c r="C250" s="1" t="s">
        <v>515</v>
      </c>
      <c r="D250" s="1" t="s">
        <v>523</v>
      </c>
      <c r="E250" s="1" t="s">
        <v>38</v>
      </c>
      <c r="F250" s="1" t="s">
        <v>39</v>
      </c>
      <c r="G250" s="2">
        <v>-5470</v>
      </c>
      <c r="H250" s="2">
        <v>4553255.6399999997</v>
      </c>
      <c r="I250" s="1" t="s">
        <v>40</v>
      </c>
      <c r="J250" s="1" t="s">
        <v>49</v>
      </c>
      <c r="K250" s="1" t="s">
        <v>279</v>
      </c>
      <c r="L250" s="1" t="s">
        <v>39</v>
      </c>
      <c r="M250" s="1" t="s">
        <v>524</v>
      </c>
      <c r="N250" s="1" t="s">
        <v>43</v>
      </c>
    </row>
    <row r="251" spans="1:14" x14ac:dyDescent="0.25">
      <c r="A251" s="1" t="s">
        <v>525</v>
      </c>
      <c r="B251" s="1" t="s">
        <v>526</v>
      </c>
      <c r="C251" s="1" t="s">
        <v>526</v>
      </c>
      <c r="D251" s="1" t="s">
        <v>48</v>
      </c>
      <c r="E251" s="1" t="s">
        <v>38</v>
      </c>
      <c r="F251" s="1" t="s">
        <v>39</v>
      </c>
      <c r="G251" s="2">
        <v>-63</v>
      </c>
      <c r="H251" s="2">
        <v>4558725.6399999997</v>
      </c>
      <c r="I251" s="1" t="s">
        <v>40</v>
      </c>
      <c r="J251" s="1" t="s">
        <v>49</v>
      </c>
      <c r="K251" s="1" t="s">
        <v>42</v>
      </c>
      <c r="L251" s="1" t="s">
        <v>39</v>
      </c>
      <c r="M251" s="1" t="s">
        <v>39</v>
      </c>
      <c r="N251" s="1" t="s">
        <v>43</v>
      </c>
    </row>
    <row r="252" spans="1:14" x14ac:dyDescent="0.25">
      <c r="A252" s="1" t="s">
        <v>525</v>
      </c>
      <c r="B252" s="1" t="s">
        <v>526</v>
      </c>
      <c r="C252" s="1" t="s">
        <v>526</v>
      </c>
      <c r="D252" s="1" t="s">
        <v>527</v>
      </c>
      <c r="E252" s="1" t="s">
        <v>38</v>
      </c>
      <c r="F252" s="1" t="s">
        <v>39</v>
      </c>
      <c r="G252" s="2">
        <v>-14782</v>
      </c>
      <c r="H252" s="2">
        <v>4558788.6399999997</v>
      </c>
      <c r="I252" s="1" t="s">
        <v>40</v>
      </c>
      <c r="J252" s="1" t="s">
        <v>49</v>
      </c>
      <c r="K252" s="1" t="s">
        <v>283</v>
      </c>
      <c r="L252" s="1" t="s">
        <v>39</v>
      </c>
      <c r="M252" s="1" t="s">
        <v>528</v>
      </c>
      <c r="N252" s="1" t="s">
        <v>43</v>
      </c>
    </row>
    <row r="253" spans="1:14" x14ac:dyDescent="0.25">
      <c r="A253" s="1" t="s">
        <v>529</v>
      </c>
      <c r="B253" s="1" t="s">
        <v>526</v>
      </c>
      <c r="C253" s="1" t="s">
        <v>530</v>
      </c>
      <c r="D253" s="1" t="s">
        <v>48</v>
      </c>
      <c r="E253" s="1" t="s">
        <v>38</v>
      </c>
      <c r="F253" s="1" t="s">
        <v>39</v>
      </c>
      <c r="G253" s="2">
        <v>-74</v>
      </c>
      <c r="H253" s="2">
        <v>4573570.6399999997</v>
      </c>
      <c r="I253" s="1" t="s">
        <v>40</v>
      </c>
      <c r="J253" s="1" t="s">
        <v>49</v>
      </c>
      <c r="K253" s="1" t="s">
        <v>42</v>
      </c>
      <c r="L253" s="1" t="s">
        <v>39</v>
      </c>
      <c r="M253" s="1" t="s">
        <v>39</v>
      </c>
      <c r="N253" s="1" t="s">
        <v>43</v>
      </c>
    </row>
    <row r="254" spans="1:14" x14ac:dyDescent="0.25">
      <c r="A254" s="1" t="s">
        <v>529</v>
      </c>
      <c r="B254" s="1" t="s">
        <v>526</v>
      </c>
      <c r="C254" s="1" t="s">
        <v>530</v>
      </c>
      <c r="D254" s="1" t="s">
        <v>531</v>
      </c>
      <c r="E254" s="1" t="s">
        <v>38</v>
      </c>
      <c r="F254" s="1" t="s">
        <v>39</v>
      </c>
      <c r="G254" s="2">
        <v>-22961</v>
      </c>
      <c r="H254" s="2">
        <v>4573644.6399999997</v>
      </c>
      <c r="I254" s="1" t="s">
        <v>40</v>
      </c>
      <c r="J254" s="1" t="s">
        <v>49</v>
      </c>
      <c r="K254" s="1" t="s">
        <v>279</v>
      </c>
      <c r="L254" s="1" t="s">
        <v>39</v>
      </c>
      <c r="M254" s="1" t="s">
        <v>532</v>
      </c>
      <c r="N254" s="1" t="s">
        <v>43</v>
      </c>
    </row>
    <row r="255" spans="1:14" x14ac:dyDescent="0.25">
      <c r="A255" s="1" t="s">
        <v>533</v>
      </c>
      <c r="B255" s="1" t="s">
        <v>526</v>
      </c>
      <c r="C255" s="1" t="s">
        <v>526</v>
      </c>
      <c r="D255" s="1" t="s">
        <v>48</v>
      </c>
      <c r="E255" s="1" t="s">
        <v>38</v>
      </c>
      <c r="F255" s="1" t="s">
        <v>39</v>
      </c>
      <c r="G255" s="2">
        <v>-79</v>
      </c>
      <c r="H255" s="2">
        <v>4596605.6399999997</v>
      </c>
      <c r="I255" s="1" t="s">
        <v>40</v>
      </c>
      <c r="J255" s="1" t="s">
        <v>49</v>
      </c>
      <c r="K255" s="1" t="s">
        <v>42</v>
      </c>
      <c r="L255" s="1" t="s">
        <v>39</v>
      </c>
      <c r="M255" s="1" t="s">
        <v>39</v>
      </c>
      <c r="N255" s="1" t="s">
        <v>43</v>
      </c>
    </row>
    <row r="256" spans="1:14" x14ac:dyDescent="0.25">
      <c r="A256" s="1" t="s">
        <v>533</v>
      </c>
      <c r="B256" s="1" t="s">
        <v>526</v>
      </c>
      <c r="C256" s="1" t="s">
        <v>526</v>
      </c>
      <c r="D256" s="1" t="s">
        <v>534</v>
      </c>
      <c r="E256" s="1" t="s">
        <v>38</v>
      </c>
      <c r="F256" s="1" t="s">
        <v>39</v>
      </c>
      <c r="G256" s="2">
        <v>-26617</v>
      </c>
      <c r="H256" s="2">
        <v>4596684.6399999997</v>
      </c>
      <c r="I256" s="1" t="s">
        <v>40</v>
      </c>
      <c r="J256" s="1" t="s">
        <v>49</v>
      </c>
      <c r="K256" s="1" t="s">
        <v>283</v>
      </c>
      <c r="L256" s="1" t="s">
        <v>39</v>
      </c>
      <c r="M256" s="1" t="s">
        <v>535</v>
      </c>
      <c r="N256" s="1" t="s">
        <v>43</v>
      </c>
    </row>
    <row r="257" spans="1:14" x14ac:dyDescent="0.25">
      <c r="A257" s="1" t="s">
        <v>536</v>
      </c>
      <c r="B257" s="1" t="s">
        <v>511</v>
      </c>
      <c r="C257" s="1" t="s">
        <v>537</v>
      </c>
      <c r="D257" s="1" t="s">
        <v>538</v>
      </c>
      <c r="E257" s="1" t="s">
        <v>38</v>
      </c>
      <c r="F257" s="1" t="s">
        <v>39</v>
      </c>
      <c r="G257" s="2">
        <v>-23539</v>
      </c>
      <c r="H257" s="2">
        <v>4623301.6399999997</v>
      </c>
      <c r="I257" s="1" t="s">
        <v>40</v>
      </c>
      <c r="J257" s="1" t="s">
        <v>49</v>
      </c>
      <c r="K257" s="1" t="s">
        <v>279</v>
      </c>
      <c r="L257" s="1" t="s">
        <v>39</v>
      </c>
      <c r="M257" s="1" t="s">
        <v>539</v>
      </c>
      <c r="N257" s="1" t="s">
        <v>43</v>
      </c>
    </row>
    <row r="258" spans="1:14" x14ac:dyDescent="0.25">
      <c r="A258" s="1" t="s">
        <v>536</v>
      </c>
      <c r="B258" s="1" t="s">
        <v>511</v>
      </c>
      <c r="C258" s="1" t="s">
        <v>537</v>
      </c>
      <c r="D258" s="1" t="s">
        <v>48</v>
      </c>
      <c r="E258" s="1" t="s">
        <v>38</v>
      </c>
      <c r="F258" s="1" t="s">
        <v>39</v>
      </c>
      <c r="G258" s="2">
        <v>-74</v>
      </c>
      <c r="H258" s="2">
        <v>4646840.6399999997</v>
      </c>
      <c r="I258" s="1" t="s">
        <v>40</v>
      </c>
      <c r="J258" s="1" t="s">
        <v>49</v>
      </c>
      <c r="K258" s="1" t="s">
        <v>42</v>
      </c>
      <c r="L258" s="1" t="s">
        <v>39</v>
      </c>
      <c r="M258" s="1" t="s">
        <v>39</v>
      </c>
      <c r="N258" s="1" t="s">
        <v>43</v>
      </c>
    </row>
    <row r="259" spans="1:14" x14ac:dyDescent="0.25">
      <c r="A259" s="1" t="s">
        <v>540</v>
      </c>
      <c r="B259" s="1" t="s">
        <v>511</v>
      </c>
      <c r="C259" s="1" t="s">
        <v>515</v>
      </c>
      <c r="D259" s="1" t="s">
        <v>48</v>
      </c>
      <c r="E259" s="1" t="s">
        <v>38</v>
      </c>
      <c r="F259" s="1" t="s">
        <v>39</v>
      </c>
      <c r="G259" s="2">
        <v>-79</v>
      </c>
      <c r="H259" s="2">
        <v>4646914.6399999997</v>
      </c>
      <c r="I259" s="1" t="s">
        <v>40</v>
      </c>
      <c r="J259" s="1" t="s">
        <v>49</v>
      </c>
      <c r="K259" s="1" t="s">
        <v>42</v>
      </c>
      <c r="L259" s="1" t="s">
        <v>39</v>
      </c>
      <c r="M259" s="1" t="s">
        <v>39</v>
      </c>
      <c r="N259" s="1" t="s">
        <v>43</v>
      </c>
    </row>
    <row r="260" spans="1:14" x14ac:dyDescent="0.25">
      <c r="A260" s="1" t="s">
        <v>540</v>
      </c>
      <c r="B260" s="1" t="s">
        <v>511</v>
      </c>
      <c r="C260" s="1" t="s">
        <v>515</v>
      </c>
      <c r="D260" s="1" t="s">
        <v>541</v>
      </c>
      <c r="E260" s="1" t="s">
        <v>38</v>
      </c>
      <c r="F260" s="1" t="s">
        <v>39</v>
      </c>
      <c r="G260" s="2">
        <v>-25965</v>
      </c>
      <c r="H260" s="2">
        <v>4646993.6399999997</v>
      </c>
      <c r="I260" s="1" t="s">
        <v>40</v>
      </c>
      <c r="J260" s="1" t="s">
        <v>49</v>
      </c>
      <c r="K260" s="1" t="s">
        <v>289</v>
      </c>
      <c r="L260" s="1" t="s">
        <v>39</v>
      </c>
      <c r="M260" s="1" t="s">
        <v>542</v>
      </c>
      <c r="N260" s="1" t="s">
        <v>43</v>
      </c>
    </row>
    <row r="261" spans="1:14" x14ac:dyDescent="0.25">
      <c r="A261" s="1" t="s">
        <v>543</v>
      </c>
      <c r="B261" s="1" t="s">
        <v>511</v>
      </c>
      <c r="C261" s="1" t="s">
        <v>515</v>
      </c>
      <c r="D261" s="1" t="s">
        <v>48</v>
      </c>
      <c r="E261" s="1" t="s">
        <v>38</v>
      </c>
      <c r="F261" s="1" t="s">
        <v>39</v>
      </c>
      <c r="G261" s="2">
        <v>-30</v>
      </c>
      <c r="H261" s="2">
        <v>4672958.6399999997</v>
      </c>
      <c r="I261" s="1" t="s">
        <v>40</v>
      </c>
      <c r="J261" s="1" t="s">
        <v>49</v>
      </c>
      <c r="K261" s="1" t="s">
        <v>42</v>
      </c>
      <c r="L261" s="1" t="s">
        <v>39</v>
      </c>
      <c r="M261" s="1" t="s">
        <v>39</v>
      </c>
      <c r="N261" s="1" t="s">
        <v>43</v>
      </c>
    </row>
    <row r="262" spans="1:14" x14ac:dyDescent="0.25">
      <c r="A262" s="1" t="s">
        <v>543</v>
      </c>
      <c r="B262" s="1" t="s">
        <v>511</v>
      </c>
      <c r="C262" s="1" t="s">
        <v>515</v>
      </c>
      <c r="D262" s="1" t="s">
        <v>544</v>
      </c>
      <c r="E262" s="1" t="s">
        <v>38</v>
      </c>
      <c r="F262" s="1" t="s">
        <v>39</v>
      </c>
      <c r="G262" s="2">
        <v>-2620</v>
      </c>
      <c r="H262" s="2">
        <v>4672988.6399999997</v>
      </c>
      <c r="I262" s="1" t="s">
        <v>40</v>
      </c>
      <c r="J262" s="1" t="s">
        <v>49</v>
      </c>
      <c r="K262" s="1" t="s">
        <v>283</v>
      </c>
      <c r="L262" s="1" t="s">
        <v>39</v>
      </c>
      <c r="M262" s="1" t="s">
        <v>545</v>
      </c>
      <c r="N262" s="1" t="s">
        <v>43</v>
      </c>
    </row>
    <row r="263" spans="1:14" x14ac:dyDescent="0.25">
      <c r="A263" s="1" t="s">
        <v>546</v>
      </c>
      <c r="B263" s="1" t="s">
        <v>511</v>
      </c>
      <c r="C263" s="1" t="s">
        <v>515</v>
      </c>
      <c r="D263" s="1" t="s">
        <v>48</v>
      </c>
      <c r="E263" s="1" t="s">
        <v>38</v>
      </c>
      <c r="F263" s="1" t="s">
        <v>39</v>
      </c>
      <c r="G263" s="2">
        <v>-63</v>
      </c>
      <c r="H263" s="2">
        <v>4675608.6399999997</v>
      </c>
      <c r="I263" s="1" t="s">
        <v>40</v>
      </c>
      <c r="J263" s="1" t="s">
        <v>49</v>
      </c>
      <c r="K263" s="1" t="s">
        <v>42</v>
      </c>
      <c r="L263" s="1" t="s">
        <v>39</v>
      </c>
      <c r="M263" s="1" t="s">
        <v>39</v>
      </c>
      <c r="N263" s="1" t="s">
        <v>43</v>
      </c>
    </row>
    <row r="264" spans="1:14" x14ac:dyDescent="0.25">
      <c r="A264" s="1" t="s">
        <v>546</v>
      </c>
      <c r="B264" s="1" t="s">
        <v>511</v>
      </c>
      <c r="C264" s="1" t="s">
        <v>515</v>
      </c>
      <c r="D264" s="1" t="s">
        <v>547</v>
      </c>
      <c r="E264" s="1" t="s">
        <v>38</v>
      </c>
      <c r="F264" s="1" t="s">
        <v>39</v>
      </c>
      <c r="G264" s="2">
        <v>-13360</v>
      </c>
      <c r="H264" s="2">
        <v>4675671.6399999997</v>
      </c>
      <c r="I264" s="1" t="s">
        <v>40</v>
      </c>
      <c r="J264" s="1" t="s">
        <v>49</v>
      </c>
      <c r="K264" s="1" t="s">
        <v>283</v>
      </c>
      <c r="L264" s="1" t="s">
        <v>39</v>
      </c>
      <c r="M264" s="1" t="s">
        <v>548</v>
      </c>
      <c r="N264" s="1" t="s">
        <v>43</v>
      </c>
    </row>
    <row r="265" spans="1:14" x14ac:dyDescent="0.25">
      <c r="A265" s="1" t="s">
        <v>549</v>
      </c>
      <c r="B265" s="1" t="s">
        <v>515</v>
      </c>
      <c r="C265" s="1" t="s">
        <v>515</v>
      </c>
      <c r="D265" s="1" t="s">
        <v>550</v>
      </c>
      <c r="E265" s="1" t="s">
        <v>38</v>
      </c>
      <c r="F265" s="1" t="s">
        <v>39</v>
      </c>
      <c r="G265" s="2">
        <v>-9819</v>
      </c>
      <c r="H265" s="2">
        <v>4689031.6399999997</v>
      </c>
      <c r="I265" s="1" t="s">
        <v>40</v>
      </c>
      <c r="J265" s="1" t="s">
        <v>49</v>
      </c>
      <c r="K265" s="1" t="s">
        <v>289</v>
      </c>
      <c r="L265" s="1" t="s">
        <v>39</v>
      </c>
      <c r="M265" s="1" t="s">
        <v>551</v>
      </c>
      <c r="N265" s="1" t="s">
        <v>43</v>
      </c>
    </row>
    <row r="266" spans="1:14" x14ac:dyDescent="0.25">
      <c r="A266" s="1" t="s">
        <v>549</v>
      </c>
      <c r="B266" s="1" t="s">
        <v>515</v>
      </c>
      <c r="C266" s="1" t="s">
        <v>515</v>
      </c>
      <c r="D266" s="1" t="s">
        <v>48</v>
      </c>
      <c r="E266" s="1" t="s">
        <v>38</v>
      </c>
      <c r="F266" s="1" t="s">
        <v>39</v>
      </c>
      <c r="G266" s="2">
        <v>-54</v>
      </c>
      <c r="H266" s="2">
        <v>4698850.6399999997</v>
      </c>
      <c r="I266" s="1" t="s">
        <v>40</v>
      </c>
      <c r="J266" s="1" t="s">
        <v>49</v>
      </c>
      <c r="K266" s="1" t="s">
        <v>42</v>
      </c>
      <c r="L266" s="1" t="s">
        <v>39</v>
      </c>
      <c r="M266" s="1" t="s">
        <v>39</v>
      </c>
      <c r="N266" s="1" t="s">
        <v>43</v>
      </c>
    </row>
    <row r="267" spans="1:14" x14ac:dyDescent="0.25">
      <c r="A267" s="1" t="s">
        <v>552</v>
      </c>
      <c r="B267" s="1" t="s">
        <v>515</v>
      </c>
      <c r="C267" s="1" t="s">
        <v>515</v>
      </c>
      <c r="D267" s="1" t="s">
        <v>48</v>
      </c>
      <c r="E267" s="1" t="s">
        <v>38</v>
      </c>
      <c r="F267" s="1" t="s">
        <v>39</v>
      </c>
      <c r="G267" s="2">
        <v>-63</v>
      </c>
      <c r="H267" s="2">
        <v>4698904.6399999997</v>
      </c>
      <c r="I267" s="1" t="s">
        <v>40</v>
      </c>
      <c r="J267" s="1" t="s">
        <v>49</v>
      </c>
      <c r="K267" s="1" t="s">
        <v>42</v>
      </c>
      <c r="L267" s="1" t="s">
        <v>39</v>
      </c>
      <c r="M267" s="1" t="s">
        <v>39</v>
      </c>
      <c r="N267" s="1" t="s">
        <v>43</v>
      </c>
    </row>
    <row r="268" spans="1:14" x14ac:dyDescent="0.25">
      <c r="A268" s="1" t="s">
        <v>552</v>
      </c>
      <c r="B268" s="1" t="s">
        <v>515</v>
      </c>
      <c r="C268" s="1" t="s">
        <v>515</v>
      </c>
      <c r="D268" s="1" t="s">
        <v>553</v>
      </c>
      <c r="E268" s="1" t="s">
        <v>38</v>
      </c>
      <c r="F268" s="1" t="s">
        <v>39</v>
      </c>
      <c r="G268" s="2">
        <v>-10699</v>
      </c>
      <c r="H268" s="2">
        <v>4698967.6399999997</v>
      </c>
      <c r="I268" s="1" t="s">
        <v>40</v>
      </c>
      <c r="J268" s="1" t="s">
        <v>49</v>
      </c>
      <c r="K268" s="1" t="s">
        <v>283</v>
      </c>
      <c r="L268" s="1" t="s">
        <v>39</v>
      </c>
      <c r="M268" s="1" t="s">
        <v>554</v>
      </c>
      <c r="N268" s="1" t="s">
        <v>43</v>
      </c>
    </row>
    <row r="269" spans="1:14" x14ac:dyDescent="0.25">
      <c r="A269" s="1" t="s">
        <v>555</v>
      </c>
      <c r="B269" s="1" t="s">
        <v>515</v>
      </c>
      <c r="C269" s="1" t="s">
        <v>556</v>
      </c>
      <c r="D269" s="1" t="s">
        <v>48</v>
      </c>
      <c r="E269" s="1" t="s">
        <v>38</v>
      </c>
      <c r="F269" s="1" t="s">
        <v>39</v>
      </c>
      <c r="G269" s="2">
        <v>-48</v>
      </c>
      <c r="H269" s="2">
        <v>4709666.6399999997</v>
      </c>
      <c r="I269" s="1" t="s">
        <v>40</v>
      </c>
      <c r="J269" s="1" t="s">
        <v>49</v>
      </c>
      <c r="K269" s="1" t="s">
        <v>42</v>
      </c>
      <c r="L269" s="1" t="s">
        <v>39</v>
      </c>
      <c r="M269" s="1" t="s">
        <v>39</v>
      </c>
      <c r="N269" s="1" t="s">
        <v>43</v>
      </c>
    </row>
    <row r="270" spans="1:14" x14ac:dyDescent="0.25">
      <c r="A270" s="1" t="s">
        <v>555</v>
      </c>
      <c r="B270" s="1" t="s">
        <v>515</v>
      </c>
      <c r="C270" s="1" t="s">
        <v>556</v>
      </c>
      <c r="D270" s="1" t="s">
        <v>557</v>
      </c>
      <c r="E270" s="1" t="s">
        <v>38</v>
      </c>
      <c r="F270" s="1" t="s">
        <v>39</v>
      </c>
      <c r="G270" s="2">
        <v>-6891</v>
      </c>
      <c r="H270" s="2">
        <v>4709714.6399999997</v>
      </c>
      <c r="I270" s="1" t="s">
        <v>40</v>
      </c>
      <c r="J270" s="1" t="s">
        <v>49</v>
      </c>
      <c r="K270" s="1" t="s">
        <v>283</v>
      </c>
      <c r="L270" s="1" t="s">
        <v>39</v>
      </c>
      <c r="M270" s="1" t="s">
        <v>558</v>
      </c>
      <c r="N270" s="1" t="s">
        <v>43</v>
      </c>
    </row>
    <row r="271" spans="1:14" x14ac:dyDescent="0.25">
      <c r="A271" s="1" t="s">
        <v>559</v>
      </c>
      <c r="B271" s="1" t="s">
        <v>556</v>
      </c>
      <c r="C271" s="1" t="s">
        <v>556</v>
      </c>
      <c r="D271" s="1" t="s">
        <v>48</v>
      </c>
      <c r="E271" s="1" t="s">
        <v>38</v>
      </c>
      <c r="F271" s="1" t="s">
        <v>39</v>
      </c>
      <c r="G271" s="2">
        <v>-30</v>
      </c>
      <c r="H271" s="2">
        <v>4716605.6399999997</v>
      </c>
      <c r="I271" s="1" t="s">
        <v>40</v>
      </c>
      <c r="J271" s="1" t="s">
        <v>49</v>
      </c>
      <c r="K271" s="1" t="s">
        <v>42</v>
      </c>
      <c r="L271" s="1" t="s">
        <v>39</v>
      </c>
      <c r="M271" s="1" t="s">
        <v>39</v>
      </c>
      <c r="N271" s="1" t="s">
        <v>43</v>
      </c>
    </row>
    <row r="272" spans="1:14" x14ac:dyDescent="0.25">
      <c r="A272" s="1" t="s">
        <v>559</v>
      </c>
      <c r="B272" s="1" t="s">
        <v>556</v>
      </c>
      <c r="C272" s="1" t="s">
        <v>556</v>
      </c>
      <c r="D272" s="1" t="s">
        <v>560</v>
      </c>
      <c r="E272" s="1" t="s">
        <v>38</v>
      </c>
      <c r="F272" s="1" t="s">
        <v>39</v>
      </c>
      <c r="G272" s="2">
        <v>-3400</v>
      </c>
      <c r="H272" s="2">
        <v>4716635.6399999997</v>
      </c>
      <c r="I272" s="1" t="s">
        <v>40</v>
      </c>
      <c r="J272" s="1" t="s">
        <v>49</v>
      </c>
      <c r="K272" s="1" t="s">
        <v>283</v>
      </c>
      <c r="L272" s="1" t="s">
        <v>39</v>
      </c>
      <c r="M272" s="1" t="s">
        <v>561</v>
      </c>
      <c r="N272" s="1" t="s">
        <v>43</v>
      </c>
    </row>
    <row r="273" spans="1:14" x14ac:dyDescent="0.25">
      <c r="A273" s="1" t="s">
        <v>562</v>
      </c>
      <c r="B273" s="1" t="s">
        <v>556</v>
      </c>
      <c r="C273" s="1" t="s">
        <v>556</v>
      </c>
      <c r="D273" s="1" t="s">
        <v>48</v>
      </c>
      <c r="E273" s="1" t="s">
        <v>38</v>
      </c>
      <c r="F273" s="1" t="s">
        <v>39</v>
      </c>
      <c r="G273" s="2">
        <v>-25</v>
      </c>
      <c r="H273" s="2">
        <v>4720035.6399999997</v>
      </c>
      <c r="I273" s="1" t="s">
        <v>40</v>
      </c>
      <c r="J273" s="1" t="s">
        <v>49</v>
      </c>
      <c r="K273" s="1" t="s">
        <v>42</v>
      </c>
      <c r="L273" s="1" t="s">
        <v>39</v>
      </c>
      <c r="M273" s="1" t="s">
        <v>39</v>
      </c>
      <c r="N273" s="1" t="s">
        <v>43</v>
      </c>
    </row>
    <row r="274" spans="1:14" x14ac:dyDescent="0.25">
      <c r="A274" s="1" t="s">
        <v>562</v>
      </c>
      <c r="B274" s="1" t="s">
        <v>556</v>
      </c>
      <c r="C274" s="1" t="s">
        <v>556</v>
      </c>
      <c r="D274" s="1" t="s">
        <v>563</v>
      </c>
      <c r="E274" s="1" t="s">
        <v>38</v>
      </c>
      <c r="F274" s="1" t="s">
        <v>39</v>
      </c>
      <c r="G274" s="2">
        <v>-1810</v>
      </c>
      <c r="H274" s="2">
        <v>4720060.6399999997</v>
      </c>
      <c r="I274" s="1" t="s">
        <v>40</v>
      </c>
      <c r="J274" s="1" t="s">
        <v>49</v>
      </c>
      <c r="K274" s="1" t="s">
        <v>283</v>
      </c>
      <c r="L274" s="1" t="s">
        <v>39</v>
      </c>
      <c r="M274" s="1" t="s">
        <v>564</v>
      </c>
      <c r="N274" s="1" t="s">
        <v>43</v>
      </c>
    </row>
    <row r="275" spans="1:14" x14ac:dyDescent="0.25">
      <c r="A275" s="1" t="s">
        <v>565</v>
      </c>
      <c r="B275" s="1" t="s">
        <v>556</v>
      </c>
      <c r="C275" s="1" t="s">
        <v>556</v>
      </c>
      <c r="D275" s="1" t="s">
        <v>48</v>
      </c>
      <c r="E275" s="1" t="s">
        <v>38</v>
      </c>
      <c r="F275" s="1" t="s">
        <v>39</v>
      </c>
      <c r="G275" s="2">
        <v>-39</v>
      </c>
      <c r="H275" s="2">
        <v>4721870.6399999997</v>
      </c>
      <c r="I275" s="1" t="s">
        <v>40</v>
      </c>
      <c r="J275" s="1" t="s">
        <v>49</v>
      </c>
      <c r="K275" s="1" t="s">
        <v>42</v>
      </c>
      <c r="L275" s="1" t="s">
        <v>39</v>
      </c>
      <c r="M275" s="1" t="s">
        <v>39</v>
      </c>
      <c r="N275" s="1" t="s">
        <v>43</v>
      </c>
    </row>
    <row r="276" spans="1:14" x14ac:dyDescent="0.25">
      <c r="A276" s="1" t="s">
        <v>565</v>
      </c>
      <c r="B276" s="1" t="s">
        <v>556</v>
      </c>
      <c r="C276" s="1" t="s">
        <v>556</v>
      </c>
      <c r="D276" s="1" t="s">
        <v>566</v>
      </c>
      <c r="E276" s="1" t="s">
        <v>38</v>
      </c>
      <c r="F276" s="1" t="s">
        <v>39</v>
      </c>
      <c r="G276" s="2">
        <v>-3860</v>
      </c>
      <c r="H276" s="2">
        <v>4721909.6399999997</v>
      </c>
      <c r="I276" s="1" t="s">
        <v>40</v>
      </c>
      <c r="J276" s="1" t="s">
        <v>49</v>
      </c>
      <c r="K276" s="1" t="s">
        <v>283</v>
      </c>
      <c r="L276" s="1" t="s">
        <v>39</v>
      </c>
      <c r="M276" s="1" t="s">
        <v>567</v>
      </c>
      <c r="N276" s="1" t="s">
        <v>43</v>
      </c>
    </row>
    <row r="277" spans="1:14" x14ac:dyDescent="0.25">
      <c r="A277" s="1" t="s">
        <v>568</v>
      </c>
      <c r="B277" s="1" t="s">
        <v>556</v>
      </c>
      <c r="C277" s="1" t="s">
        <v>556</v>
      </c>
      <c r="D277" s="1" t="s">
        <v>48</v>
      </c>
      <c r="E277" s="1" t="s">
        <v>38</v>
      </c>
      <c r="F277" s="1" t="s">
        <v>39</v>
      </c>
      <c r="G277" s="2">
        <v>-68</v>
      </c>
      <c r="H277" s="2">
        <v>4725769.6399999997</v>
      </c>
      <c r="I277" s="1" t="s">
        <v>40</v>
      </c>
      <c r="J277" s="1" t="s">
        <v>49</v>
      </c>
      <c r="K277" s="1" t="s">
        <v>42</v>
      </c>
      <c r="L277" s="1" t="s">
        <v>39</v>
      </c>
      <c r="M277" s="1" t="s">
        <v>39</v>
      </c>
      <c r="N277" s="1" t="s">
        <v>43</v>
      </c>
    </row>
    <row r="278" spans="1:14" x14ac:dyDescent="0.25">
      <c r="A278" s="1" t="s">
        <v>568</v>
      </c>
      <c r="B278" s="1" t="s">
        <v>556</v>
      </c>
      <c r="C278" s="1" t="s">
        <v>556</v>
      </c>
      <c r="D278" s="1" t="s">
        <v>569</v>
      </c>
      <c r="E278" s="1" t="s">
        <v>38</v>
      </c>
      <c r="F278" s="1" t="s">
        <v>39</v>
      </c>
      <c r="G278" s="2">
        <v>-17891</v>
      </c>
      <c r="H278" s="2">
        <v>4725837.6399999997</v>
      </c>
      <c r="I278" s="1" t="s">
        <v>40</v>
      </c>
      <c r="J278" s="1" t="s">
        <v>49</v>
      </c>
      <c r="K278" s="1" t="s">
        <v>283</v>
      </c>
      <c r="L278" s="1" t="s">
        <v>39</v>
      </c>
      <c r="M278" s="1" t="s">
        <v>570</v>
      </c>
      <c r="N278" s="1" t="s">
        <v>43</v>
      </c>
    </row>
    <row r="279" spans="1:14" x14ac:dyDescent="0.25">
      <c r="A279" s="1" t="s">
        <v>571</v>
      </c>
      <c r="B279" s="1" t="s">
        <v>556</v>
      </c>
      <c r="C279" s="1" t="s">
        <v>556</v>
      </c>
      <c r="D279" s="1" t="s">
        <v>48</v>
      </c>
      <c r="E279" s="1" t="s">
        <v>38</v>
      </c>
      <c r="F279" s="1" t="s">
        <v>39</v>
      </c>
      <c r="G279" s="2">
        <v>-8</v>
      </c>
      <c r="H279" s="2">
        <v>4743728.6399999997</v>
      </c>
      <c r="I279" s="1" t="s">
        <v>40</v>
      </c>
      <c r="J279" s="1" t="s">
        <v>49</v>
      </c>
      <c r="K279" s="1" t="s">
        <v>42</v>
      </c>
      <c r="L279" s="1" t="s">
        <v>39</v>
      </c>
      <c r="M279" s="1" t="s">
        <v>39</v>
      </c>
      <c r="N279" s="1" t="s">
        <v>43</v>
      </c>
    </row>
    <row r="280" spans="1:14" x14ac:dyDescent="0.25">
      <c r="A280" s="1" t="s">
        <v>571</v>
      </c>
      <c r="B280" s="1" t="s">
        <v>556</v>
      </c>
      <c r="C280" s="1" t="s">
        <v>556</v>
      </c>
      <c r="D280" s="1" t="s">
        <v>572</v>
      </c>
      <c r="E280" s="1" t="s">
        <v>38</v>
      </c>
      <c r="F280" s="1" t="s">
        <v>39</v>
      </c>
      <c r="G280" s="2">
        <v>-249</v>
      </c>
      <c r="H280" s="2">
        <v>4743736.6399999997</v>
      </c>
      <c r="I280" s="1" t="s">
        <v>40</v>
      </c>
      <c r="J280" s="1" t="s">
        <v>49</v>
      </c>
      <c r="K280" s="1" t="s">
        <v>283</v>
      </c>
      <c r="L280" s="1" t="s">
        <v>39</v>
      </c>
      <c r="M280" s="1" t="s">
        <v>573</v>
      </c>
      <c r="N280" s="1" t="s">
        <v>43</v>
      </c>
    </row>
    <row r="281" spans="1:14" x14ac:dyDescent="0.25">
      <c r="A281" s="1" t="s">
        <v>574</v>
      </c>
      <c r="B281" s="1" t="s">
        <v>556</v>
      </c>
      <c r="C281" s="1" t="s">
        <v>556</v>
      </c>
      <c r="D281" s="1" t="s">
        <v>48</v>
      </c>
      <c r="E281" s="1" t="s">
        <v>38</v>
      </c>
      <c r="F281" s="1" t="s">
        <v>39</v>
      </c>
      <c r="G281" s="2">
        <v>-63</v>
      </c>
      <c r="H281" s="2">
        <v>4743985.6399999997</v>
      </c>
      <c r="I281" s="1" t="s">
        <v>40</v>
      </c>
      <c r="J281" s="1" t="s">
        <v>49</v>
      </c>
      <c r="K281" s="1" t="s">
        <v>42</v>
      </c>
      <c r="L281" s="1" t="s">
        <v>39</v>
      </c>
      <c r="M281" s="1" t="s">
        <v>39</v>
      </c>
      <c r="N281" s="1" t="s">
        <v>43</v>
      </c>
    </row>
    <row r="282" spans="1:14" x14ac:dyDescent="0.25">
      <c r="A282" s="1" t="s">
        <v>574</v>
      </c>
      <c r="B282" s="1" t="s">
        <v>556</v>
      </c>
      <c r="C282" s="1" t="s">
        <v>556</v>
      </c>
      <c r="D282" s="1" t="s">
        <v>575</v>
      </c>
      <c r="E282" s="1" t="s">
        <v>38</v>
      </c>
      <c r="F282" s="1" t="s">
        <v>39</v>
      </c>
      <c r="G282" s="2">
        <v>-13267</v>
      </c>
      <c r="H282" s="2">
        <v>4744048.6399999997</v>
      </c>
      <c r="I282" s="1" t="s">
        <v>40</v>
      </c>
      <c r="J282" s="1" t="s">
        <v>49</v>
      </c>
      <c r="K282" s="1" t="s">
        <v>283</v>
      </c>
      <c r="L282" s="1" t="s">
        <v>39</v>
      </c>
      <c r="M282" s="1" t="s">
        <v>576</v>
      </c>
      <c r="N282" s="1" t="s">
        <v>43</v>
      </c>
    </row>
    <row r="283" spans="1:14" x14ac:dyDescent="0.25">
      <c r="A283" s="1" t="s">
        <v>577</v>
      </c>
      <c r="B283" s="1" t="s">
        <v>556</v>
      </c>
      <c r="C283" s="1" t="s">
        <v>578</v>
      </c>
      <c r="D283" s="1" t="s">
        <v>48</v>
      </c>
      <c r="E283" s="1" t="s">
        <v>38</v>
      </c>
      <c r="F283" s="1" t="s">
        <v>39</v>
      </c>
      <c r="G283" s="2">
        <v>-18</v>
      </c>
      <c r="H283" s="2">
        <v>4757315.6399999997</v>
      </c>
      <c r="I283" s="1" t="s">
        <v>40</v>
      </c>
      <c r="J283" s="1" t="s">
        <v>49</v>
      </c>
      <c r="K283" s="1" t="s">
        <v>42</v>
      </c>
      <c r="L283" s="1" t="s">
        <v>39</v>
      </c>
      <c r="M283" s="1" t="s">
        <v>39</v>
      </c>
      <c r="N283" s="1" t="s">
        <v>43</v>
      </c>
    </row>
    <row r="284" spans="1:14" x14ac:dyDescent="0.25">
      <c r="A284" s="1" t="s">
        <v>577</v>
      </c>
      <c r="B284" s="1" t="s">
        <v>556</v>
      </c>
      <c r="C284" s="1" t="s">
        <v>578</v>
      </c>
      <c r="D284" s="1" t="s">
        <v>579</v>
      </c>
      <c r="E284" s="1" t="s">
        <v>38</v>
      </c>
      <c r="F284" s="1" t="s">
        <v>39</v>
      </c>
      <c r="G284" s="2">
        <v>-1186</v>
      </c>
      <c r="H284" s="2">
        <v>4757333.6399999997</v>
      </c>
      <c r="I284" s="1" t="s">
        <v>40</v>
      </c>
      <c r="J284" s="1" t="s">
        <v>49</v>
      </c>
      <c r="K284" s="1" t="s">
        <v>279</v>
      </c>
      <c r="L284" s="1" t="s">
        <v>39</v>
      </c>
      <c r="M284" s="1" t="s">
        <v>580</v>
      </c>
      <c r="N284" s="1" t="s">
        <v>43</v>
      </c>
    </row>
    <row r="285" spans="1:14" x14ac:dyDescent="0.25">
      <c r="A285" s="1" t="s">
        <v>581</v>
      </c>
      <c r="B285" s="1" t="s">
        <v>556</v>
      </c>
      <c r="C285" s="1" t="s">
        <v>556</v>
      </c>
      <c r="D285" s="1" t="s">
        <v>48</v>
      </c>
      <c r="E285" s="1" t="s">
        <v>38</v>
      </c>
      <c r="F285" s="1" t="s">
        <v>39</v>
      </c>
      <c r="G285" s="2">
        <v>-48</v>
      </c>
      <c r="H285" s="2">
        <v>4758519.6399999997</v>
      </c>
      <c r="I285" s="1" t="s">
        <v>40</v>
      </c>
      <c r="J285" s="1" t="s">
        <v>49</v>
      </c>
      <c r="K285" s="1" t="s">
        <v>42</v>
      </c>
      <c r="L285" s="1" t="s">
        <v>39</v>
      </c>
      <c r="M285" s="1" t="s">
        <v>39</v>
      </c>
      <c r="N285" s="1" t="s">
        <v>43</v>
      </c>
    </row>
    <row r="286" spans="1:14" x14ac:dyDescent="0.25">
      <c r="A286" s="1" t="s">
        <v>581</v>
      </c>
      <c r="B286" s="1" t="s">
        <v>556</v>
      </c>
      <c r="C286" s="1" t="s">
        <v>556</v>
      </c>
      <c r="D286" s="1" t="s">
        <v>582</v>
      </c>
      <c r="E286" s="1" t="s">
        <v>38</v>
      </c>
      <c r="F286" s="1" t="s">
        <v>39</v>
      </c>
      <c r="G286" s="2">
        <v>-5391</v>
      </c>
      <c r="H286" s="2">
        <v>4758567.6399999997</v>
      </c>
      <c r="I286" s="1" t="s">
        <v>40</v>
      </c>
      <c r="J286" s="1" t="s">
        <v>49</v>
      </c>
      <c r="K286" s="1" t="s">
        <v>283</v>
      </c>
      <c r="L286" s="1" t="s">
        <v>39</v>
      </c>
      <c r="M286" s="1" t="s">
        <v>583</v>
      </c>
      <c r="N286" s="1" t="s">
        <v>43</v>
      </c>
    </row>
    <row r="287" spans="1:14" x14ac:dyDescent="0.25">
      <c r="A287" s="1" t="s">
        <v>584</v>
      </c>
      <c r="B287" s="1" t="s">
        <v>556</v>
      </c>
      <c r="C287" s="1" t="s">
        <v>530</v>
      </c>
      <c r="D287" s="1" t="s">
        <v>48</v>
      </c>
      <c r="E287" s="1" t="s">
        <v>38</v>
      </c>
      <c r="F287" s="1" t="s">
        <v>39</v>
      </c>
      <c r="G287" s="2">
        <v>-68</v>
      </c>
      <c r="H287" s="2">
        <v>4763958.6399999997</v>
      </c>
      <c r="I287" s="1" t="s">
        <v>40</v>
      </c>
      <c r="J287" s="1" t="s">
        <v>49</v>
      </c>
      <c r="K287" s="1" t="s">
        <v>42</v>
      </c>
      <c r="L287" s="1" t="s">
        <v>39</v>
      </c>
      <c r="M287" s="1" t="s">
        <v>39</v>
      </c>
      <c r="N287" s="1" t="s">
        <v>43</v>
      </c>
    </row>
    <row r="288" spans="1:14" x14ac:dyDescent="0.25">
      <c r="A288" s="1" t="s">
        <v>584</v>
      </c>
      <c r="B288" s="1" t="s">
        <v>556</v>
      </c>
      <c r="C288" s="1" t="s">
        <v>530</v>
      </c>
      <c r="D288" s="1" t="s">
        <v>585</v>
      </c>
      <c r="E288" s="1" t="s">
        <v>38</v>
      </c>
      <c r="F288" s="1" t="s">
        <v>39</v>
      </c>
      <c r="G288" s="2">
        <v>-15544</v>
      </c>
      <c r="H288" s="2">
        <v>4764026.6399999997</v>
      </c>
      <c r="I288" s="1" t="s">
        <v>40</v>
      </c>
      <c r="J288" s="1" t="s">
        <v>49</v>
      </c>
      <c r="K288" s="1" t="s">
        <v>283</v>
      </c>
      <c r="L288" s="1" t="s">
        <v>39</v>
      </c>
      <c r="M288" s="1" t="s">
        <v>586</v>
      </c>
      <c r="N288" s="1" t="s">
        <v>43</v>
      </c>
    </row>
    <row r="289" spans="1:14" x14ac:dyDescent="0.25">
      <c r="A289" s="1" t="s">
        <v>587</v>
      </c>
      <c r="B289" s="1" t="s">
        <v>530</v>
      </c>
      <c r="C289" s="1" t="s">
        <v>530</v>
      </c>
      <c r="D289" s="1" t="s">
        <v>48</v>
      </c>
      <c r="E289" s="1" t="s">
        <v>38</v>
      </c>
      <c r="F289" s="1" t="s">
        <v>39</v>
      </c>
      <c r="G289" s="2">
        <v>-63</v>
      </c>
      <c r="H289" s="2">
        <v>4779570.6399999997</v>
      </c>
      <c r="I289" s="1" t="s">
        <v>40</v>
      </c>
      <c r="J289" s="1" t="s">
        <v>49</v>
      </c>
      <c r="K289" s="1" t="s">
        <v>42</v>
      </c>
      <c r="L289" s="1" t="s">
        <v>39</v>
      </c>
      <c r="M289" s="1" t="s">
        <v>39</v>
      </c>
      <c r="N289" s="1" t="s">
        <v>43</v>
      </c>
    </row>
    <row r="290" spans="1:14" x14ac:dyDescent="0.25">
      <c r="A290" s="1" t="s">
        <v>587</v>
      </c>
      <c r="B290" s="1" t="s">
        <v>530</v>
      </c>
      <c r="C290" s="1" t="s">
        <v>530</v>
      </c>
      <c r="D290" s="1" t="s">
        <v>588</v>
      </c>
      <c r="E290" s="1" t="s">
        <v>38</v>
      </c>
      <c r="F290" s="1" t="s">
        <v>39</v>
      </c>
      <c r="G290" s="2">
        <v>-11539</v>
      </c>
      <c r="H290" s="2">
        <v>4779633.6399999997</v>
      </c>
      <c r="I290" s="1" t="s">
        <v>40</v>
      </c>
      <c r="J290" s="1" t="s">
        <v>49</v>
      </c>
      <c r="K290" s="1" t="s">
        <v>283</v>
      </c>
      <c r="L290" s="1" t="s">
        <v>39</v>
      </c>
      <c r="M290" s="1" t="s">
        <v>589</v>
      </c>
      <c r="N290" s="1" t="s">
        <v>43</v>
      </c>
    </row>
    <row r="291" spans="1:14" x14ac:dyDescent="0.25">
      <c r="A291" s="1" t="s">
        <v>590</v>
      </c>
      <c r="B291" s="1" t="s">
        <v>537</v>
      </c>
      <c r="C291" s="1" t="s">
        <v>537</v>
      </c>
      <c r="D291" s="1" t="s">
        <v>48</v>
      </c>
      <c r="E291" s="1" t="s">
        <v>38</v>
      </c>
      <c r="F291" s="1" t="s">
        <v>39</v>
      </c>
      <c r="G291" s="2">
        <v>-39</v>
      </c>
      <c r="H291" s="2">
        <v>4791172.6399999997</v>
      </c>
      <c r="I291" s="1" t="s">
        <v>40</v>
      </c>
      <c r="J291" s="1" t="s">
        <v>49</v>
      </c>
      <c r="K291" s="1" t="s">
        <v>42</v>
      </c>
      <c r="L291" s="1" t="s">
        <v>39</v>
      </c>
      <c r="M291" s="1" t="s">
        <v>39</v>
      </c>
      <c r="N291" s="1" t="s">
        <v>43</v>
      </c>
    </row>
    <row r="292" spans="1:14" x14ac:dyDescent="0.25">
      <c r="A292" s="1" t="s">
        <v>590</v>
      </c>
      <c r="B292" s="1" t="s">
        <v>537</v>
      </c>
      <c r="C292" s="1" t="s">
        <v>537</v>
      </c>
      <c r="D292" s="1" t="s">
        <v>591</v>
      </c>
      <c r="E292" s="1" t="s">
        <v>38</v>
      </c>
      <c r="F292" s="1" t="s">
        <v>39</v>
      </c>
      <c r="G292" s="2">
        <v>-3699</v>
      </c>
      <c r="H292" s="2">
        <v>4791211.6399999997</v>
      </c>
      <c r="I292" s="1" t="s">
        <v>40</v>
      </c>
      <c r="J292" s="1" t="s">
        <v>49</v>
      </c>
      <c r="K292" s="1" t="s">
        <v>283</v>
      </c>
      <c r="L292" s="1" t="s">
        <v>39</v>
      </c>
      <c r="M292" s="1" t="s">
        <v>592</v>
      </c>
      <c r="N292" s="1" t="s">
        <v>43</v>
      </c>
    </row>
    <row r="293" spans="1:14" x14ac:dyDescent="0.25">
      <c r="A293" s="1" t="s">
        <v>593</v>
      </c>
      <c r="B293" s="1" t="s">
        <v>594</v>
      </c>
      <c r="C293" s="1" t="s">
        <v>578</v>
      </c>
      <c r="D293" s="1" t="s">
        <v>48</v>
      </c>
      <c r="E293" s="1" t="s">
        <v>38</v>
      </c>
      <c r="F293" s="1" t="s">
        <v>39</v>
      </c>
      <c r="G293" s="2">
        <v>-63</v>
      </c>
      <c r="H293" s="2">
        <v>4794910.6399999997</v>
      </c>
      <c r="I293" s="1" t="s">
        <v>40</v>
      </c>
      <c r="J293" s="1" t="s">
        <v>49</v>
      </c>
      <c r="K293" s="1" t="s">
        <v>42</v>
      </c>
      <c r="L293" s="1" t="s">
        <v>39</v>
      </c>
      <c r="M293" s="1" t="s">
        <v>39</v>
      </c>
      <c r="N293" s="1" t="s">
        <v>43</v>
      </c>
    </row>
    <row r="294" spans="1:14" x14ac:dyDescent="0.25">
      <c r="A294" s="1" t="s">
        <v>593</v>
      </c>
      <c r="B294" s="1" t="s">
        <v>594</v>
      </c>
      <c r="C294" s="1" t="s">
        <v>578</v>
      </c>
      <c r="D294" s="1" t="s">
        <v>299</v>
      </c>
      <c r="E294" s="1" t="s">
        <v>38</v>
      </c>
      <c r="F294" s="1" t="s">
        <v>39</v>
      </c>
      <c r="G294" s="2">
        <v>-10409</v>
      </c>
      <c r="H294" s="2">
        <v>4794973.6399999997</v>
      </c>
      <c r="I294" s="1" t="s">
        <v>40</v>
      </c>
      <c r="J294" s="1" t="s">
        <v>49</v>
      </c>
      <c r="K294" s="1" t="s">
        <v>283</v>
      </c>
      <c r="L294" s="1" t="s">
        <v>39</v>
      </c>
      <c r="M294" s="1" t="s">
        <v>300</v>
      </c>
      <c r="N294" s="1" t="s">
        <v>43</v>
      </c>
    </row>
    <row r="295" spans="1:14" x14ac:dyDescent="0.25">
      <c r="A295" s="1" t="s">
        <v>595</v>
      </c>
      <c r="B295" s="1" t="s">
        <v>578</v>
      </c>
      <c r="C295" s="1" t="s">
        <v>596</v>
      </c>
      <c r="D295" s="1" t="s">
        <v>597</v>
      </c>
      <c r="E295" s="1" t="s">
        <v>38</v>
      </c>
      <c r="F295" s="1" t="s">
        <v>39</v>
      </c>
      <c r="G295" s="2">
        <v>-22690</v>
      </c>
      <c r="H295" s="2">
        <v>4805382.6399999997</v>
      </c>
      <c r="I295" s="1" t="s">
        <v>40</v>
      </c>
      <c r="J295" s="1" t="s">
        <v>49</v>
      </c>
      <c r="K295" s="1" t="s">
        <v>279</v>
      </c>
      <c r="L295" s="1" t="s">
        <v>39</v>
      </c>
      <c r="M295" s="1" t="s">
        <v>598</v>
      </c>
      <c r="N295" s="1" t="s">
        <v>43</v>
      </c>
    </row>
    <row r="296" spans="1:14" x14ac:dyDescent="0.25">
      <c r="A296" s="1" t="s">
        <v>595</v>
      </c>
      <c r="B296" s="1" t="s">
        <v>578</v>
      </c>
      <c r="C296" s="1" t="s">
        <v>596</v>
      </c>
      <c r="D296" s="1" t="s">
        <v>48</v>
      </c>
      <c r="E296" s="1" t="s">
        <v>38</v>
      </c>
      <c r="F296" s="1" t="s">
        <v>39</v>
      </c>
      <c r="G296" s="2">
        <v>-74</v>
      </c>
      <c r="H296" s="2">
        <v>4828072.6399999997</v>
      </c>
      <c r="I296" s="1" t="s">
        <v>40</v>
      </c>
      <c r="J296" s="1" t="s">
        <v>49</v>
      </c>
      <c r="K296" s="1" t="s">
        <v>42</v>
      </c>
      <c r="L296" s="1" t="s">
        <v>39</v>
      </c>
      <c r="M296" s="1" t="s">
        <v>39</v>
      </c>
      <c r="N296" s="1" t="s">
        <v>43</v>
      </c>
    </row>
    <row r="297" spans="1:14" x14ac:dyDescent="0.25">
      <c r="A297" s="1" t="s">
        <v>599</v>
      </c>
      <c r="B297" s="1" t="s">
        <v>578</v>
      </c>
      <c r="C297" s="1" t="s">
        <v>600</v>
      </c>
      <c r="D297" s="1" t="s">
        <v>601</v>
      </c>
      <c r="E297" s="1" t="s">
        <v>38</v>
      </c>
      <c r="F297" s="1" t="s">
        <v>39</v>
      </c>
      <c r="G297" s="2">
        <v>-7603</v>
      </c>
      <c r="H297" s="2">
        <v>4828146.6399999997</v>
      </c>
      <c r="I297" s="1" t="s">
        <v>40</v>
      </c>
      <c r="J297" s="1" t="s">
        <v>49</v>
      </c>
      <c r="K297" s="1" t="s">
        <v>289</v>
      </c>
      <c r="L297" s="1" t="s">
        <v>39</v>
      </c>
      <c r="M297" s="1" t="s">
        <v>602</v>
      </c>
      <c r="N297" s="1" t="s">
        <v>43</v>
      </c>
    </row>
    <row r="298" spans="1:14" x14ac:dyDescent="0.25">
      <c r="A298" s="1" t="s">
        <v>599</v>
      </c>
      <c r="B298" s="1" t="s">
        <v>578</v>
      </c>
      <c r="C298" s="1" t="s">
        <v>600</v>
      </c>
      <c r="D298" s="1" t="s">
        <v>48</v>
      </c>
      <c r="E298" s="1" t="s">
        <v>38</v>
      </c>
      <c r="F298" s="1" t="s">
        <v>39</v>
      </c>
      <c r="G298" s="2">
        <v>-54</v>
      </c>
      <c r="H298" s="2">
        <v>4835749.6399999997</v>
      </c>
      <c r="I298" s="1" t="s">
        <v>40</v>
      </c>
      <c r="J298" s="1" t="s">
        <v>49</v>
      </c>
      <c r="K298" s="1" t="s">
        <v>42</v>
      </c>
      <c r="L298" s="1" t="s">
        <v>39</v>
      </c>
      <c r="M298" s="1" t="s">
        <v>39</v>
      </c>
      <c r="N298" s="1" t="s">
        <v>43</v>
      </c>
    </row>
    <row r="299" spans="1:14" x14ac:dyDescent="0.25">
      <c r="A299" s="1" t="s">
        <v>603</v>
      </c>
      <c r="B299" s="1" t="s">
        <v>578</v>
      </c>
      <c r="C299" s="1" t="s">
        <v>600</v>
      </c>
      <c r="D299" s="1" t="s">
        <v>48</v>
      </c>
      <c r="E299" s="1" t="s">
        <v>38</v>
      </c>
      <c r="F299" s="1" t="s">
        <v>39</v>
      </c>
      <c r="G299" s="2">
        <v>-54</v>
      </c>
      <c r="H299" s="2">
        <v>4835803.6399999997</v>
      </c>
      <c r="I299" s="1" t="s">
        <v>40</v>
      </c>
      <c r="J299" s="1" t="s">
        <v>49</v>
      </c>
      <c r="K299" s="1" t="s">
        <v>42</v>
      </c>
      <c r="L299" s="1" t="s">
        <v>39</v>
      </c>
      <c r="M299" s="1" t="s">
        <v>39</v>
      </c>
      <c r="N299" s="1" t="s">
        <v>43</v>
      </c>
    </row>
    <row r="300" spans="1:14" x14ac:dyDescent="0.25">
      <c r="A300" s="1" t="s">
        <v>603</v>
      </c>
      <c r="B300" s="1" t="s">
        <v>578</v>
      </c>
      <c r="C300" s="1" t="s">
        <v>600</v>
      </c>
      <c r="D300" s="1" t="s">
        <v>604</v>
      </c>
      <c r="E300" s="1" t="s">
        <v>38</v>
      </c>
      <c r="F300" s="1" t="s">
        <v>39</v>
      </c>
      <c r="G300" s="2">
        <v>-8096</v>
      </c>
      <c r="H300" s="2">
        <v>4835857.6399999997</v>
      </c>
      <c r="I300" s="1" t="s">
        <v>40</v>
      </c>
      <c r="J300" s="1" t="s">
        <v>49</v>
      </c>
      <c r="K300" s="1" t="s">
        <v>283</v>
      </c>
      <c r="L300" s="1" t="s">
        <v>39</v>
      </c>
      <c r="M300" s="1" t="s">
        <v>605</v>
      </c>
      <c r="N300" s="1" t="s">
        <v>43</v>
      </c>
    </row>
    <row r="301" spans="1:14" x14ac:dyDescent="0.25">
      <c r="A301" s="1" t="s">
        <v>606</v>
      </c>
      <c r="B301" s="1" t="s">
        <v>600</v>
      </c>
      <c r="C301" s="1" t="s">
        <v>600</v>
      </c>
      <c r="D301" s="1" t="s">
        <v>48</v>
      </c>
      <c r="E301" s="1" t="s">
        <v>38</v>
      </c>
      <c r="F301" s="1" t="s">
        <v>39</v>
      </c>
      <c r="G301" s="2">
        <v>-74</v>
      </c>
      <c r="H301" s="2">
        <v>4843953.6399999997</v>
      </c>
      <c r="I301" s="1" t="s">
        <v>40</v>
      </c>
      <c r="J301" s="1" t="s">
        <v>49</v>
      </c>
      <c r="K301" s="1" t="s">
        <v>42</v>
      </c>
      <c r="L301" s="1" t="s">
        <v>39</v>
      </c>
      <c r="M301" s="1" t="s">
        <v>39</v>
      </c>
      <c r="N301" s="1" t="s">
        <v>43</v>
      </c>
    </row>
    <row r="302" spans="1:14" x14ac:dyDescent="0.25">
      <c r="A302" s="1" t="s">
        <v>606</v>
      </c>
      <c r="B302" s="1" t="s">
        <v>600</v>
      </c>
      <c r="C302" s="1" t="s">
        <v>600</v>
      </c>
      <c r="D302" s="1" t="s">
        <v>607</v>
      </c>
      <c r="E302" s="1" t="s">
        <v>38</v>
      </c>
      <c r="F302" s="1" t="s">
        <v>39</v>
      </c>
      <c r="G302" s="2">
        <v>-20836</v>
      </c>
      <c r="H302" s="2">
        <v>4844027.6399999997</v>
      </c>
      <c r="I302" s="1" t="s">
        <v>40</v>
      </c>
      <c r="J302" s="1" t="s">
        <v>49</v>
      </c>
      <c r="K302" s="1" t="s">
        <v>283</v>
      </c>
      <c r="L302" s="1" t="s">
        <v>39</v>
      </c>
      <c r="M302" s="1" t="s">
        <v>608</v>
      </c>
      <c r="N302" s="1" t="s">
        <v>43</v>
      </c>
    </row>
    <row r="303" spans="1:14" x14ac:dyDescent="0.25">
      <c r="A303" s="1" t="s">
        <v>609</v>
      </c>
      <c r="B303" s="1" t="s">
        <v>600</v>
      </c>
      <c r="C303" s="1" t="s">
        <v>610</v>
      </c>
      <c r="D303" s="1" t="s">
        <v>611</v>
      </c>
      <c r="E303" s="1" t="s">
        <v>38</v>
      </c>
      <c r="F303" s="1" t="s">
        <v>39</v>
      </c>
      <c r="G303" s="2">
        <v>-5758</v>
      </c>
      <c r="H303" s="2">
        <v>4864863.6399999997</v>
      </c>
      <c r="I303" s="1" t="s">
        <v>40</v>
      </c>
      <c r="J303" s="1" t="s">
        <v>49</v>
      </c>
      <c r="K303" s="1" t="s">
        <v>289</v>
      </c>
      <c r="L303" s="1" t="s">
        <v>39</v>
      </c>
      <c r="M303" s="1" t="s">
        <v>612</v>
      </c>
      <c r="N303" s="1" t="s">
        <v>43</v>
      </c>
    </row>
    <row r="304" spans="1:14" x14ac:dyDescent="0.25">
      <c r="A304" s="1" t="s">
        <v>609</v>
      </c>
      <c r="B304" s="1" t="s">
        <v>600</v>
      </c>
      <c r="C304" s="1" t="s">
        <v>610</v>
      </c>
      <c r="D304" s="1" t="s">
        <v>48</v>
      </c>
      <c r="E304" s="1" t="s">
        <v>38</v>
      </c>
      <c r="F304" s="1" t="s">
        <v>39</v>
      </c>
      <c r="G304" s="2">
        <v>-48</v>
      </c>
      <c r="H304" s="2">
        <v>4870621.6399999997</v>
      </c>
      <c r="I304" s="1" t="s">
        <v>40</v>
      </c>
      <c r="J304" s="1" t="s">
        <v>49</v>
      </c>
      <c r="K304" s="1" t="s">
        <v>42</v>
      </c>
      <c r="L304" s="1" t="s">
        <v>39</v>
      </c>
      <c r="M304" s="1" t="s">
        <v>39</v>
      </c>
      <c r="N304" s="1" t="s">
        <v>43</v>
      </c>
    </row>
    <row r="305" spans="1:14" x14ac:dyDescent="0.25">
      <c r="A305" s="1" t="s">
        <v>613</v>
      </c>
      <c r="B305" s="1" t="s">
        <v>610</v>
      </c>
      <c r="C305" s="1" t="s">
        <v>610</v>
      </c>
      <c r="D305" s="1" t="s">
        <v>48</v>
      </c>
      <c r="E305" s="1" t="s">
        <v>38</v>
      </c>
      <c r="F305" s="1" t="s">
        <v>39</v>
      </c>
      <c r="G305" s="2">
        <v>-68</v>
      </c>
      <c r="H305" s="2">
        <v>4870669.6399999997</v>
      </c>
      <c r="I305" s="1" t="s">
        <v>40</v>
      </c>
      <c r="J305" s="1" t="s">
        <v>49</v>
      </c>
      <c r="K305" s="1" t="s">
        <v>42</v>
      </c>
      <c r="L305" s="1" t="s">
        <v>39</v>
      </c>
      <c r="M305" s="1" t="s">
        <v>39</v>
      </c>
      <c r="N305" s="1" t="s">
        <v>43</v>
      </c>
    </row>
    <row r="306" spans="1:14" x14ac:dyDescent="0.25">
      <c r="A306" s="1" t="s">
        <v>613</v>
      </c>
      <c r="B306" s="1" t="s">
        <v>610</v>
      </c>
      <c r="C306" s="1" t="s">
        <v>610</v>
      </c>
      <c r="D306" s="1" t="s">
        <v>614</v>
      </c>
      <c r="E306" s="1" t="s">
        <v>38</v>
      </c>
      <c r="F306" s="1" t="s">
        <v>39</v>
      </c>
      <c r="G306" s="2">
        <v>-15040</v>
      </c>
      <c r="H306" s="2">
        <v>4870737.6399999997</v>
      </c>
      <c r="I306" s="1" t="s">
        <v>40</v>
      </c>
      <c r="J306" s="1" t="s">
        <v>49</v>
      </c>
      <c r="K306" s="1" t="s">
        <v>283</v>
      </c>
      <c r="L306" s="1" t="s">
        <v>39</v>
      </c>
      <c r="M306" s="1" t="s">
        <v>615</v>
      </c>
      <c r="N306" s="1" t="s">
        <v>43</v>
      </c>
    </row>
    <row r="307" spans="1:14" x14ac:dyDescent="0.25">
      <c r="A307" s="1" t="s">
        <v>616</v>
      </c>
      <c r="B307" s="1" t="s">
        <v>617</v>
      </c>
      <c r="C307" s="1" t="s">
        <v>618</v>
      </c>
      <c r="D307" s="1" t="s">
        <v>48</v>
      </c>
      <c r="E307" s="1" t="s">
        <v>38</v>
      </c>
      <c r="F307" s="1" t="s">
        <v>39</v>
      </c>
      <c r="G307" s="2">
        <v>-54</v>
      </c>
      <c r="H307" s="2">
        <v>4885777.6399999997</v>
      </c>
      <c r="I307" s="1" t="s">
        <v>40</v>
      </c>
      <c r="J307" s="1" t="s">
        <v>49</v>
      </c>
      <c r="K307" s="1" t="s">
        <v>42</v>
      </c>
      <c r="L307" s="1" t="s">
        <v>39</v>
      </c>
      <c r="M307" s="1" t="s">
        <v>39</v>
      </c>
      <c r="N307" s="1" t="s">
        <v>43</v>
      </c>
    </row>
    <row r="308" spans="1:14" x14ac:dyDescent="0.25">
      <c r="A308" s="1" t="s">
        <v>616</v>
      </c>
      <c r="B308" s="1" t="s">
        <v>617</v>
      </c>
      <c r="C308" s="1" t="s">
        <v>618</v>
      </c>
      <c r="D308" s="1" t="s">
        <v>619</v>
      </c>
      <c r="E308" s="1" t="s">
        <v>38</v>
      </c>
      <c r="F308" s="1" t="s">
        <v>39</v>
      </c>
      <c r="G308" s="2">
        <v>-9771</v>
      </c>
      <c r="H308" s="2">
        <v>4885831.6399999997</v>
      </c>
      <c r="I308" s="1" t="s">
        <v>40</v>
      </c>
      <c r="J308" s="1" t="s">
        <v>49</v>
      </c>
      <c r="K308" s="1" t="s">
        <v>279</v>
      </c>
      <c r="L308" s="1" t="s">
        <v>39</v>
      </c>
      <c r="M308" s="1" t="s">
        <v>620</v>
      </c>
      <c r="N308" s="1" t="s">
        <v>43</v>
      </c>
    </row>
    <row r="309" spans="1:14" x14ac:dyDescent="0.25">
      <c r="A309" s="1" t="s">
        <v>621</v>
      </c>
      <c r="B309" s="1" t="s">
        <v>617</v>
      </c>
      <c r="C309" s="1" t="s">
        <v>617</v>
      </c>
      <c r="D309" s="1" t="s">
        <v>48</v>
      </c>
      <c r="E309" s="1" t="s">
        <v>38</v>
      </c>
      <c r="F309" s="1" t="s">
        <v>39</v>
      </c>
      <c r="G309" s="2">
        <v>-63</v>
      </c>
      <c r="H309" s="2">
        <v>4895602.6399999997</v>
      </c>
      <c r="I309" s="1" t="s">
        <v>40</v>
      </c>
      <c r="J309" s="1" t="s">
        <v>49</v>
      </c>
      <c r="K309" s="1" t="s">
        <v>42</v>
      </c>
      <c r="L309" s="1" t="s">
        <v>39</v>
      </c>
      <c r="M309" s="1" t="s">
        <v>39</v>
      </c>
      <c r="N309" s="1" t="s">
        <v>43</v>
      </c>
    </row>
    <row r="310" spans="1:14" x14ac:dyDescent="0.25">
      <c r="A310" s="1" t="s">
        <v>621</v>
      </c>
      <c r="B310" s="1" t="s">
        <v>617</v>
      </c>
      <c r="C310" s="1" t="s">
        <v>617</v>
      </c>
      <c r="D310" s="1" t="s">
        <v>622</v>
      </c>
      <c r="E310" s="1" t="s">
        <v>38</v>
      </c>
      <c r="F310" s="1" t="s">
        <v>39</v>
      </c>
      <c r="G310" s="2">
        <v>-13809</v>
      </c>
      <c r="H310" s="2">
        <v>4895665.6399999997</v>
      </c>
      <c r="I310" s="1" t="s">
        <v>40</v>
      </c>
      <c r="J310" s="1" t="s">
        <v>49</v>
      </c>
      <c r="K310" s="1" t="s">
        <v>283</v>
      </c>
      <c r="L310" s="1" t="s">
        <v>39</v>
      </c>
      <c r="M310" s="1" t="s">
        <v>623</v>
      </c>
      <c r="N310" s="1" t="s">
        <v>43</v>
      </c>
    </row>
    <row r="311" spans="1:14" x14ac:dyDescent="0.25">
      <c r="A311" s="1" t="s">
        <v>624</v>
      </c>
      <c r="B311" s="1" t="s">
        <v>617</v>
      </c>
      <c r="C311" s="1" t="s">
        <v>617</v>
      </c>
      <c r="D311" s="1" t="s">
        <v>48</v>
      </c>
      <c r="E311" s="1" t="s">
        <v>38</v>
      </c>
      <c r="F311" s="1" t="s">
        <v>39</v>
      </c>
      <c r="G311" s="2">
        <v>-48</v>
      </c>
      <c r="H311" s="2">
        <v>4909474.6399999997</v>
      </c>
      <c r="I311" s="1" t="s">
        <v>40</v>
      </c>
      <c r="J311" s="1" t="s">
        <v>49</v>
      </c>
      <c r="K311" s="1" t="s">
        <v>42</v>
      </c>
      <c r="L311" s="1" t="s">
        <v>39</v>
      </c>
      <c r="M311" s="1" t="s">
        <v>39</v>
      </c>
      <c r="N311" s="1" t="s">
        <v>43</v>
      </c>
    </row>
    <row r="312" spans="1:14" x14ac:dyDescent="0.25">
      <c r="A312" s="1" t="s">
        <v>624</v>
      </c>
      <c r="B312" s="1" t="s">
        <v>617</v>
      </c>
      <c r="C312" s="1" t="s">
        <v>617</v>
      </c>
      <c r="D312" s="1" t="s">
        <v>625</v>
      </c>
      <c r="E312" s="1" t="s">
        <v>38</v>
      </c>
      <c r="F312" s="1" t="s">
        <v>39</v>
      </c>
      <c r="G312" s="2">
        <v>-5753</v>
      </c>
      <c r="H312" s="2">
        <v>4909522.6399999997</v>
      </c>
      <c r="I312" s="1" t="s">
        <v>40</v>
      </c>
      <c r="J312" s="1" t="s">
        <v>49</v>
      </c>
      <c r="K312" s="1" t="s">
        <v>283</v>
      </c>
      <c r="L312" s="1" t="s">
        <v>39</v>
      </c>
      <c r="M312" s="1" t="s">
        <v>626</v>
      </c>
      <c r="N312" s="1" t="s">
        <v>43</v>
      </c>
    </row>
    <row r="313" spans="1:14" x14ac:dyDescent="0.25">
      <c r="A313" s="1" t="s">
        <v>627</v>
      </c>
      <c r="B313" s="1" t="s">
        <v>596</v>
      </c>
      <c r="C313" s="1" t="s">
        <v>596</v>
      </c>
      <c r="D313" s="1" t="s">
        <v>48</v>
      </c>
      <c r="E313" s="1" t="s">
        <v>38</v>
      </c>
      <c r="F313" s="1" t="s">
        <v>39</v>
      </c>
      <c r="G313" s="2">
        <v>-25</v>
      </c>
      <c r="H313" s="2">
        <v>4915275.6399999997</v>
      </c>
      <c r="I313" s="1" t="s">
        <v>40</v>
      </c>
      <c r="J313" s="1" t="s">
        <v>49</v>
      </c>
      <c r="K313" s="1" t="s">
        <v>42</v>
      </c>
      <c r="L313" s="1" t="s">
        <v>39</v>
      </c>
      <c r="M313" s="1" t="s">
        <v>39</v>
      </c>
      <c r="N313" s="1" t="s">
        <v>43</v>
      </c>
    </row>
    <row r="314" spans="1:14" x14ac:dyDescent="0.25">
      <c r="A314" s="1" t="s">
        <v>627</v>
      </c>
      <c r="B314" s="1" t="s">
        <v>596</v>
      </c>
      <c r="C314" s="1" t="s">
        <v>596</v>
      </c>
      <c r="D314" s="1" t="s">
        <v>628</v>
      </c>
      <c r="E314" s="1" t="s">
        <v>38</v>
      </c>
      <c r="F314" s="1" t="s">
        <v>39</v>
      </c>
      <c r="G314" s="2">
        <v>-1833</v>
      </c>
      <c r="H314" s="2">
        <v>4915300.6399999997</v>
      </c>
      <c r="I314" s="1" t="s">
        <v>40</v>
      </c>
      <c r="J314" s="1" t="s">
        <v>49</v>
      </c>
      <c r="K314" s="1" t="s">
        <v>283</v>
      </c>
      <c r="L314" s="1" t="s">
        <v>39</v>
      </c>
      <c r="M314" s="1" t="s">
        <v>629</v>
      </c>
      <c r="N314" s="1" t="s">
        <v>43</v>
      </c>
    </row>
    <row r="315" spans="1:14" x14ac:dyDescent="0.25">
      <c r="A315" s="1" t="s">
        <v>630</v>
      </c>
      <c r="B315" s="1" t="s">
        <v>596</v>
      </c>
      <c r="C315" s="1" t="s">
        <v>596</v>
      </c>
      <c r="D315" s="1" t="s">
        <v>48</v>
      </c>
      <c r="E315" s="1" t="s">
        <v>38</v>
      </c>
      <c r="F315" s="1" t="s">
        <v>39</v>
      </c>
      <c r="G315" s="2">
        <v>-39</v>
      </c>
      <c r="H315" s="2">
        <v>4917133.6399999997</v>
      </c>
      <c r="I315" s="1" t="s">
        <v>40</v>
      </c>
      <c r="J315" s="1" t="s">
        <v>49</v>
      </c>
      <c r="K315" s="1" t="s">
        <v>42</v>
      </c>
      <c r="L315" s="1" t="s">
        <v>39</v>
      </c>
      <c r="M315" s="1" t="s">
        <v>39</v>
      </c>
      <c r="N315" s="1" t="s">
        <v>43</v>
      </c>
    </row>
    <row r="316" spans="1:14" x14ac:dyDescent="0.25">
      <c r="A316" s="1" t="s">
        <v>630</v>
      </c>
      <c r="B316" s="1" t="s">
        <v>596</v>
      </c>
      <c r="C316" s="1" t="s">
        <v>596</v>
      </c>
      <c r="D316" s="1" t="s">
        <v>631</v>
      </c>
      <c r="E316" s="1" t="s">
        <v>38</v>
      </c>
      <c r="F316" s="1" t="s">
        <v>39</v>
      </c>
      <c r="G316" s="2">
        <v>-3561</v>
      </c>
      <c r="H316" s="2">
        <v>4917172.6399999997</v>
      </c>
      <c r="I316" s="1" t="s">
        <v>40</v>
      </c>
      <c r="J316" s="1" t="s">
        <v>49</v>
      </c>
      <c r="K316" s="1" t="s">
        <v>283</v>
      </c>
      <c r="L316" s="1" t="s">
        <v>39</v>
      </c>
      <c r="M316" s="1" t="s">
        <v>632</v>
      </c>
      <c r="N316" s="1" t="s">
        <v>43</v>
      </c>
    </row>
    <row r="317" spans="1:14" x14ac:dyDescent="0.25">
      <c r="A317" s="1" t="s">
        <v>633</v>
      </c>
      <c r="B317" s="1" t="s">
        <v>634</v>
      </c>
      <c r="C317" s="1" t="s">
        <v>634</v>
      </c>
      <c r="D317" s="1" t="s">
        <v>48</v>
      </c>
      <c r="E317" s="1" t="s">
        <v>38</v>
      </c>
      <c r="F317" s="1" t="s">
        <v>39</v>
      </c>
      <c r="G317" s="2">
        <v>-39</v>
      </c>
      <c r="H317" s="2">
        <v>4920733.6399999997</v>
      </c>
      <c r="I317" s="1" t="s">
        <v>40</v>
      </c>
      <c r="J317" s="1" t="s">
        <v>49</v>
      </c>
      <c r="K317" s="1" t="s">
        <v>42</v>
      </c>
      <c r="L317" s="1" t="s">
        <v>39</v>
      </c>
      <c r="M317" s="1" t="s">
        <v>39</v>
      </c>
      <c r="N317" s="1" t="s">
        <v>43</v>
      </c>
    </row>
    <row r="318" spans="1:14" x14ac:dyDescent="0.25">
      <c r="A318" s="1" t="s">
        <v>633</v>
      </c>
      <c r="B318" s="1" t="s">
        <v>634</v>
      </c>
      <c r="C318" s="1" t="s">
        <v>634</v>
      </c>
      <c r="D318" s="1" t="s">
        <v>635</v>
      </c>
      <c r="E318" s="1" t="s">
        <v>38</v>
      </c>
      <c r="F318" s="1" t="s">
        <v>39</v>
      </c>
      <c r="G318" s="2">
        <v>-4844</v>
      </c>
      <c r="H318" s="2">
        <v>4920772.6399999997</v>
      </c>
      <c r="I318" s="1" t="s">
        <v>40</v>
      </c>
      <c r="J318" s="1" t="s">
        <v>49</v>
      </c>
      <c r="K318" s="1" t="s">
        <v>283</v>
      </c>
      <c r="L318" s="1" t="s">
        <v>39</v>
      </c>
      <c r="M318" s="1" t="s">
        <v>636</v>
      </c>
      <c r="N318" s="1" t="s">
        <v>43</v>
      </c>
    </row>
    <row r="319" spans="1:14" x14ac:dyDescent="0.25">
      <c r="A319" s="1" t="s">
        <v>637</v>
      </c>
      <c r="B319" s="1" t="s">
        <v>634</v>
      </c>
      <c r="C319" s="1" t="s">
        <v>634</v>
      </c>
      <c r="D319" s="1" t="s">
        <v>48</v>
      </c>
      <c r="E319" s="1" t="s">
        <v>38</v>
      </c>
      <c r="F319" s="1" t="s">
        <v>39</v>
      </c>
      <c r="G319" s="2">
        <v>-39</v>
      </c>
      <c r="H319" s="2">
        <v>4925616.6399999997</v>
      </c>
      <c r="I319" s="1" t="s">
        <v>40</v>
      </c>
      <c r="J319" s="1" t="s">
        <v>49</v>
      </c>
      <c r="K319" s="1" t="s">
        <v>42</v>
      </c>
      <c r="L319" s="1" t="s">
        <v>39</v>
      </c>
      <c r="M319" s="1" t="s">
        <v>39</v>
      </c>
      <c r="N319" s="1" t="s">
        <v>43</v>
      </c>
    </row>
    <row r="320" spans="1:14" x14ac:dyDescent="0.25">
      <c r="A320" s="1" t="s">
        <v>637</v>
      </c>
      <c r="B320" s="1" t="s">
        <v>634</v>
      </c>
      <c r="C320" s="1" t="s">
        <v>634</v>
      </c>
      <c r="D320" s="1" t="s">
        <v>638</v>
      </c>
      <c r="E320" s="1" t="s">
        <v>38</v>
      </c>
      <c r="F320" s="1" t="s">
        <v>39</v>
      </c>
      <c r="G320" s="2">
        <v>-4780</v>
      </c>
      <c r="H320" s="2">
        <v>4925655.6399999997</v>
      </c>
      <c r="I320" s="1" t="s">
        <v>40</v>
      </c>
      <c r="J320" s="1" t="s">
        <v>49</v>
      </c>
      <c r="K320" s="1" t="s">
        <v>283</v>
      </c>
      <c r="L320" s="1" t="s">
        <v>39</v>
      </c>
      <c r="M320" s="1" t="s">
        <v>639</v>
      </c>
      <c r="N320" s="1" t="s">
        <v>43</v>
      </c>
    </row>
    <row r="321" spans="1:14" x14ac:dyDescent="0.25">
      <c r="A321" s="1" t="s">
        <v>640</v>
      </c>
      <c r="B321" s="1" t="s">
        <v>634</v>
      </c>
      <c r="C321" s="1" t="s">
        <v>641</v>
      </c>
      <c r="D321" s="1" t="s">
        <v>642</v>
      </c>
      <c r="E321" s="1" t="s">
        <v>38</v>
      </c>
      <c r="F321" s="1" t="s">
        <v>39</v>
      </c>
      <c r="G321" s="2">
        <v>-18868</v>
      </c>
      <c r="H321" s="2">
        <v>4930435.6399999997</v>
      </c>
      <c r="I321" s="1" t="s">
        <v>40</v>
      </c>
      <c r="J321" s="1" t="s">
        <v>49</v>
      </c>
      <c r="K321" s="1" t="s">
        <v>279</v>
      </c>
      <c r="L321" s="1" t="s">
        <v>39</v>
      </c>
      <c r="M321" s="1" t="s">
        <v>643</v>
      </c>
      <c r="N321" s="1" t="s">
        <v>43</v>
      </c>
    </row>
    <row r="322" spans="1:14" x14ac:dyDescent="0.25">
      <c r="A322" s="1" t="s">
        <v>640</v>
      </c>
      <c r="B322" s="1" t="s">
        <v>634</v>
      </c>
      <c r="C322" s="1" t="s">
        <v>641</v>
      </c>
      <c r="D322" s="1" t="s">
        <v>48</v>
      </c>
      <c r="E322" s="1" t="s">
        <v>38</v>
      </c>
      <c r="F322" s="1" t="s">
        <v>39</v>
      </c>
      <c r="G322" s="2">
        <v>-68</v>
      </c>
      <c r="H322" s="2">
        <v>4949303.6399999997</v>
      </c>
      <c r="I322" s="1" t="s">
        <v>40</v>
      </c>
      <c r="J322" s="1" t="s">
        <v>49</v>
      </c>
      <c r="K322" s="1" t="s">
        <v>42</v>
      </c>
      <c r="L322" s="1" t="s">
        <v>39</v>
      </c>
      <c r="M322" s="1" t="s">
        <v>39</v>
      </c>
      <c r="N322" s="1" t="s">
        <v>43</v>
      </c>
    </row>
    <row r="323" spans="1:14" x14ac:dyDescent="0.25">
      <c r="A323" s="1" t="s">
        <v>644</v>
      </c>
      <c r="B323" s="1" t="s">
        <v>645</v>
      </c>
      <c r="C323" s="1" t="s">
        <v>646</v>
      </c>
      <c r="D323" s="1" t="s">
        <v>278</v>
      </c>
      <c r="E323" s="1" t="s">
        <v>38</v>
      </c>
      <c r="F323" s="1" t="s">
        <v>39</v>
      </c>
      <c r="G323" s="2">
        <v>-25239</v>
      </c>
      <c r="H323" s="2">
        <v>4949371.6399999997</v>
      </c>
      <c r="I323" s="1" t="s">
        <v>40</v>
      </c>
      <c r="J323" s="1" t="s">
        <v>49</v>
      </c>
      <c r="K323" s="1" t="s">
        <v>279</v>
      </c>
      <c r="L323" s="1" t="s">
        <v>39</v>
      </c>
      <c r="M323" s="1" t="s">
        <v>280</v>
      </c>
      <c r="N323" s="1" t="s">
        <v>43</v>
      </c>
    </row>
    <row r="324" spans="1:14" x14ac:dyDescent="0.25">
      <c r="A324" s="1" t="s">
        <v>644</v>
      </c>
      <c r="B324" s="1" t="s">
        <v>645</v>
      </c>
      <c r="C324" s="1" t="s">
        <v>646</v>
      </c>
      <c r="D324" s="1" t="s">
        <v>48</v>
      </c>
      <c r="E324" s="1" t="s">
        <v>38</v>
      </c>
      <c r="F324" s="1" t="s">
        <v>39</v>
      </c>
      <c r="G324" s="2">
        <v>-79</v>
      </c>
      <c r="H324" s="2">
        <v>4974610.6399999997</v>
      </c>
      <c r="I324" s="1" t="s">
        <v>40</v>
      </c>
      <c r="J324" s="1" t="s">
        <v>49</v>
      </c>
      <c r="K324" s="1" t="s">
        <v>42</v>
      </c>
      <c r="L324" s="1" t="s">
        <v>39</v>
      </c>
      <c r="M324" s="1" t="s">
        <v>39</v>
      </c>
      <c r="N324" s="1" t="s">
        <v>43</v>
      </c>
    </row>
    <row r="325" spans="1:14" x14ac:dyDescent="0.25">
      <c r="A325" s="1" t="s">
        <v>647</v>
      </c>
      <c r="B325" s="1" t="s">
        <v>645</v>
      </c>
      <c r="C325" s="1" t="s">
        <v>648</v>
      </c>
      <c r="D325" s="1" t="s">
        <v>649</v>
      </c>
      <c r="E325" s="1" t="s">
        <v>38</v>
      </c>
      <c r="F325" s="1" t="s">
        <v>39</v>
      </c>
      <c r="G325" s="2">
        <v>-12508</v>
      </c>
      <c r="H325" s="2">
        <v>4974689.6399999997</v>
      </c>
      <c r="I325" s="1" t="s">
        <v>40</v>
      </c>
      <c r="J325" s="1" t="s">
        <v>49</v>
      </c>
      <c r="K325" s="1" t="s">
        <v>289</v>
      </c>
      <c r="L325" s="1" t="s">
        <v>39</v>
      </c>
      <c r="M325" s="1" t="s">
        <v>650</v>
      </c>
      <c r="N325" s="1" t="s">
        <v>43</v>
      </c>
    </row>
    <row r="326" spans="1:14" x14ac:dyDescent="0.25">
      <c r="A326" s="1" t="s">
        <v>647</v>
      </c>
      <c r="B326" s="1" t="s">
        <v>645</v>
      </c>
      <c r="C326" s="1" t="s">
        <v>648</v>
      </c>
      <c r="D326" s="1" t="s">
        <v>48</v>
      </c>
      <c r="E326" s="1" t="s">
        <v>38</v>
      </c>
      <c r="F326" s="1" t="s">
        <v>39</v>
      </c>
      <c r="G326" s="2">
        <v>-63</v>
      </c>
      <c r="H326" s="2">
        <v>4987197.6399999997</v>
      </c>
      <c r="I326" s="1" t="s">
        <v>40</v>
      </c>
      <c r="J326" s="1" t="s">
        <v>49</v>
      </c>
      <c r="K326" s="1" t="s">
        <v>42</v>
      </c>
      <c r="L326" s="1" t="s">
        <v>39</v>
      </c>
      <c r="M326" s="1" t="s">
        <v>39</v>
      </c>
      <c r="N326" s="1" t="s">
        <v>43</v>
      </c>
    </row>
    <row r="327" spans="1:14" x14ac:dyDescent="0.25">
      <c r="A327" s="1" t="s">
        <v>651</v>
      </c>
      <c r="B327" s="1" t="s">
        <v>648</v>
      </c>
      <c r="C327" s="1" t="s">
        <v>646</v>
      </c>
      <c r="D327" s="1" t="s">
        <v>48</v>
      </c>
      <c r="E327" s="1" t="s">
        <v>38</v>
      </c>
      <c r="F327" s="1" t="s">
        <v>39</v>
      </c>
      <c r="G327" s="2">
        <v>-63</v>
      </c>
      <c r="H327" s="2">
        <v>4987260.6399999997</v>
      </c>
      <c r="I327" s="1" t="s">
        <v>40</v>
      </c>
      <c r="J327" s="1" t="s">
        <v>49</v>
      </c>
      <c r="K327" s="1" t="s">
        <v>42</v>
      </c>
      <c r="L327" s="1" t="s">
        <v>39</v>
      </c>
      <c r="M327" s="1" t="s">
        <v>39</v>
      </c>
      <c r="N327" s="1" t="s">
        <v>43</v>
      </c>
    </row>
    <row r="328" spans="1:14" x14ac:dyDescent="0.25">
      <c r="A328" s="1" t="s">
        <v>651</v>
      </c>
      <c r="B328" s="1" t="s">
        <v>648</v>
      </c>
      <c r="C328" s="1" t="s">
        <v>646</v>
      </c>
      <c r="D328" s="1" t="s">
        <v>652</v>
      </c>
      <c r="E328" s="1" t="s">
        <v>38</v>
      </c>
      <c r="F328" s="1" t="s">
        <v>39</v>
      </c>
      <c r="G328" s="2">
        <v>-12922</v>
      </c>
      <c r="H328" s="2">
        <v>4987323.6399999997</v>
      </c>
      <c r="I328" s="1" t="s">
        <v>40</v>
      </c>
      <c r="J328" s="1" t="s">
        <v>49</v>
      </c>
      <c r="K328" s="1" t="s">
        <v>279</v>
      </c>
      <c r="L328" s="1" t="s">
        <v>39</v>
      </c>
      <c r="M328" s="1" t="s">
        <v>653</v>
      </c>
      <c r="N328" s="1" t="s">
        <v>43</v>
      </c>
    </row>
    <row r="329" spans="1:14" x14ac:dyDescent="0.25">
      <c r="A329" s="1" t="s">
        <v>654</v>
      </c>
      <c r="B329" s="1" t="s">
        <v>648</v>
      </c>
      <c r="C329" s="1" t="s">
        <v>641</v>
      </c>
      <c r="D329" s="1" t="s">
        <v>48</v>
      </c>
      <c r="E329" s="1" t="s">
        <v>38</v>
      </c>
      <c r="F329" s="1" t="s">
        <v>39</v>
      </c>
      <c r="G329" s="2">
        <v>-48</v>
      </c>
      <c r="H329" s="2">
        <v>5000245.6399999997</v>
      </c>
      <c r="I329" s="1" t="s">
        <v>40</v>
      </c>
      <c r="J329" s="1" t="s">
        <v>49</v>
      </c>
      <c r="K329" s="1" t="s">
        <v>42</v>
      </c>
      <c r="L329" s="1" t="s">
        <v>39</v>
      </c>
      <c r="M329" s="1" t="s">
        <v>39</v>
      </c>
      <c r="N329" s="1" t="s">
        <v>43</v>
      </c>
    </row>
    <row r="330" spans="1:14" x14ac:dyDescent="0.25">
      <c r="A330" s="1" t="s">
        <v>654</v>
      </c>
      <c r="B330" s="1" t="s">
        <v>648</v>
      </c>
      <c r="C330" s="1" t="s">
        <v>641</v>
      </c>
      <c r="D330" s="1" t="s">
        <v>655</v>
      </c>
      <c r="E330" s="1" t="s">
        <v>38</v>
      </c>
      <c r="F330" s="1" t="s">
        <v>39</v>
      </c>
      <c r="G330" s="2">
        <v>-6260</v>
      </c>
      <c r="H330" s="2">
        <v>5000293.6399999997</v>
      </c>
      <c r="I330" s="1" t="s">
        <v>40</v>
      </c>
      <c r="J330" s="1" t="s">
        <v>49</v>
      </c>
      <c r="K330" s="1" t="s">
        <v>283</v>
      </c>
      <c r="L330" s="1" t="s">
        <v>39</v>
      </c>
      <c r="M330" s="1" t="s">
        <v>656</v>
      </c>
      <c r="N330" s="1" t="s">
        <v>43</v>
      </c>
    </row>
    <row r="331" spans="1:14" x14ac:dyDescent="0.25">
      <c r="A331" s="1" t="s">
        <v>657</v>
      </c>
      <c r="B331" s="1" t="s">
        <v>658</v>
      </c>
      <c r="C331" s="1" t="s">
        <v>658</v>
      </c>
      <c r="D331" s="1" t="s">
        <v>48</v>
      </c>
      <c r="E331" s="1" t="s">
        <v>38</v>
      </c>
      <c r="F331" s="1" t="s">
        <v>39</v>
      </c>
      <c r="G331" s="2">
        <v>-30</v>
      </c>
      <c r="H331" s="2">
        <v>5006553.6399999997</v>
      </c>
      <c r="I331" s="1" t="s">
        <v>40</v>
      </c>
      <c r="J331" s="1" t="s">
        <v>49</v>
      </c>
      <c r="K331" s="1" t="s">
        <v>42</v>
      </c>
      <c r="L331" s="1" t="s">
        <v>39</v>
      </c>
      <c r="M331" s="1" t="s">
        <v>39</v>
      </c>
      <c r="N331" s="1" t="s">
        <v>43</v>
      </c>
    </row>
    <row r="332" spans="1:14" x14ac:dyDescent="0.25">
      <c r="A332" s="1" t="s">
        <v>657</v>
      </c>
      <c r="B332" s="1" t="s">
        <v>658</v>
      </c>
      <c r="C332" s="1" t="s">
        <v>658</v>
      </c>
      <c r="D332" s="1" t="s">
        <v>659</v>
      </c>
      <c r="E332" s="1" t="s">
        <v>38</v>
      </c>
      <c r="F332" s="1" t="s">
        <v>39</v>
      </c>
      <c r="G332" s="2">
        <v>-2787</v>
      </c>
      <c r="H332" s="2">
        <v>5006583.6399999997</v>
      </c>
      <c r="I332" s="1" t="s">
        <v>40</v>
      </c>
      <c r="J332" s="1" t="s">
        <v>49</v>
      </c>
      <c r="K332" s="1" t="s">
        <v>283</v>
      </c>
      <c r="L332" s="1" t="s">
        <v>39</v>
      </c>
      <c r="M332" s="1" t="s">
        <v>660</v>
      </c>
      <c r="N332" s="1" t="s">
        <v>43</v>
      </c>
    </row>
    <row r="333" spans="1:14" x14ac:dyDescent="0.25">
      <c r="A333" s="1" t="s">
        <v>661</v>
      </c>
      <c r="B333" s="1" t="s">
        <v>658</v>
      </c>
      <c r="C333" s="1" t="s">
        <v>662</v>
      </c>
      <c r="D333" s="1" t="s">
        <v>663</v>
      </c>
      <c r="E333" s="1" t="s">
        <v>38</v>
      </c>
      <c r="F333" s="1" t="s">
        <v>39</v>
      </c>
      <c r="G333" s="2">
        <v>-6886</v>
      </c>
      <c r="H333" s="2">
        <v>5009370.6399999997</v>
      </c>
      <c r="I333" s="1" t="s">
        <v>40</v>
      </c>
      <c r="J333" s="1" t="s">
        <v>49</v>
      </c>
      <c r="K333" s="1" t="s">
        <v>289</v>
      </c>
      <c r="L333" s="1" t="s">
        <v>39</v>
      </c>
      <c r="M333" s="1" t="s">
        <v>664</v>
      </c>
      <c r="N333" s="1" t="s">
        <v>43</v>
      </c>
    </row>
    <row r="334" spans="1:14" x14ac:dyDescent="0.25">
      <c r="A334" s="1" t="s">
        <v>661</v>
      </c>
      <c r="B334" s="1" t="s">
        <v>658</v>
      </c>
      <c r="C334" s="1" t="s">
        <v>662</v>
      </c>
      <c r="D334" s="1" t="s">
        <v>48</v>
      </c>
      <c r="E334" s="1" t="s">
        <v>38</v>
      </c>
      <c r="F334" s="1" t="s">
        <v>39</v>
      </c>
      <c r="G334" s="2">
        <v>-48</v>
      </c>
      <c r="H334" s="2">
        <v>5016256.6399999997</v>
      </c>
      <c r="I334" s="1" t="s">
        <v>40</v>
      </c>
      <c r="J334" s="1" t="s">
        <v>49</v>
      </c>
      <c r="K334" s="1" t="s">
        <v>42</v>
      </c>
      <c r="L334" s="1" t="s">
        <v>39</v>
      </c>
      <c r="M334" s="1" t="s">
        <v>39</v>
      </c>
      <c r="N334" s="1" t="s">
        <v>43</v>
      </c>
    </row>
    <row r="335" spans="1:14" x14ac:dyDescent="0.25">
      <c r="A335" s="1" t="s">
        <v>665</v>
      </c>
      <c r="B335" s="1" t="s">
        <v>658</v>
      </c>
      <c r="C335" s="1" t="s">
        <v>662</v>
      </c>
      <c r="D335" s="1" t="s">
        <v>48</v>
      </c>
      <c r="E335" s="1" t="s">
        <v>38</v>
      </c>
      <c r="F335" s="1" t="s">
        <v>39</v>
      </c>
      <c r="G335" s="2">
        <v>-30</v>
      </c>
      <c r="H335" s="2">
        <v>5016304.6399999997</v>
      </c>
      <c r="I335" s="1" t="s">
        <v>40</v>
      </c>
      <c r="J335" s="1" t="s">
        <v>49</v>
      </c>
      <c r="K335" s="1" t="s">
        <v>42</v>
      </c>
      <c r="L335" s="1" t="s">
        <v>39</v>
      </c>
      <c r="M335" s="1" t="s">
        <v>39</v>
      </c>
      <c r="N335" s="1" t="s">
        <v>43</v>
      </c>
    </row>
    <row r="336" spans="1:14" x14ac:dyDescent="0.25">
      <c r="A336" s="1" t="s">
        <v>665</v>
      </c>
      <c r="B336" s="1" t="s">
        <v>658</v>
      </c>
      <c r="C336" s="1" t="s">
        <v>662</v>
      </c>
      <c r="D336" s="1" t="s">
        <v>666</v>
      </c>
      <c r="E336" s="1" t="s">
        <v>38</v>
      </c>
      <c r="F336" s="1" t="s">
        <v>39</v>
      </c>
      <c r="G336" s="2">
        <v>-2882</v>
      </c>
      <c r="H336" s="2">
        <v>5016334.6399999997</v>
      </c>
      <c r="I336" s="1" t="s">
        <v>40</v>
      </c>
      <c r="J336" s="1" t="s">
        <v>49</v>
      </c>
      <c r="K336" s="1" t="s">
        <v>283</v>
      </c>
      <c r="L336" s="1" t="s">
        <v>39</v>
      </c>
      <c r="M336" s="1" t="s">
        <v>667</v>
      </c>
      <c r="N336" s="1" t="s">
        <v>43</v>
      </c>
    </row>
    <row r="337" spans="1:14" x14ac:dyDescent="0.25">
      <c r="A337" s="1" t="s">
        <v>668</v>
      </c>
      <c r="B337" s="1" t="s">
        <v>646</v>
      </c>
      <c r="C337" s="1" t="s">
        <v>646</v>
      </c>
      <c r="D337" s="1" t="s">
        <v>48</v>
      </c>
      <c r="E337" s="1" t="s">
        <v>38</v>
      </c>
      <c r="F337" s="1" t="s">
        <v>39</v>
      </c>
      <c r="G337" s="2">
        <v>-48</v>
      </c>
      <c r="H337" s="2">
        <v>5019216.6399999997</v>
      </c>
      <c r="I337" s="1" t="s">
        <v>40</v>
      </c>
      <c r="J337" s="1" t="s">
        <v>49</v>
      </c>
      <c r="K337" s="1" t="s">
        <v>42</v>
      </c>
      <c r="L337" s="1" t="s">
        <v>39</v>
      </c>
      <c r="M337" s="1" t="s">
        <v>39</v>
      </c>
      <c r="N337" s="1" t="s">
        <v>43</v>
      </c>
    </row>
    <row r="338" spans="1:14" x14ac:dyDescent="0.25">
      <c r="A338" s="1" t="s">
        <v>668</v>
      </c>
      <c r="B338" s="1" t="s">
        <v>646</v>
      </c>
      <c r="C338" s="1" t="s">
        <v>646</v>
      </c>
      <c r="D338" s="1" t="s">
        <v>669</v>
      </c>
      <c r="E338" s="1" t="s">
        <v>38</v>
      </c>
      <c r="F338" s="1" t="s">
        <v>39</v>
      </c>
      <c r="G338" s="2">
        <v>-5220</v>
      </c>
      <c r="H338" s="2">
        <v>5019264.6399999997</v>
      </c>
      <c r="I338" s="1" t="s">
        <v>40</v>
      </c>
      <c r="J338" s="1" t="s">
        <v>49</v>
      </c>
      <c r="K338" s="1" t="s">
        <v>283</v>
      </c>
      <c r="L338" s="1" t="s">
        <v>39</v>
      </c>
      <c r="M338" s="1" t="s">
        <v>670</v>
      </c>
      <c r="N338" s="1" t="s">
        <v>43</v>
      </c>
    </row>
    <row r="339" spans="1:14" x14ac:dyDescent="0.25">
      <c r="A339" s="1" t="s">
        <v>671</v>
      </c>
      <c r="B339" s="1" t="s">
        <v>646</v>
      </c>
      <c r="C339" s="1" t="s">
        <v>672</v>
      </c>
      <c r="D339" s="1" t="s">
        <v>48</v>
      </c>
      <c r="E339" s="1" t="s">
        <v>38</v>
      </c>
      <c r="F339" s="1" t="s">
        <v>39</v>
      </c>
      <c r="G339" s="2">
        <v>-74</v>
      </c>
      <c r="H339" s="2">
        <v>5024484.6399999997</v>
      </c>
      <c r="I339" s="1" t="s">
        <v>40</v>
      </c>
      <c r="J339" s="1" t="s">
        <v>49</v>
      </c>
      <c r="K339" s="1" t="s">
        <v>42</v>
      </c>
      <c r="L339" s="1" t="s">
        <v>39</v>
      </c>
      <c r="M339" s="1" t="s">
        <v>39</v>
      </c>
      <c r="N339" s="1" t="s">
        <v>43</v>
      </c>
    </row>
    <row r="340" spans="1:14" x14ac:dyDescent="0.25">
      <c r="A340" s="1" t="s">
        <v>671</v>
      </c>
      <c r="B340" s="1" t="s">
        <v>646</v>
      </c>
      <c r="C340" s="1" t="s">
        <v>672</v>
      </c>
      <c r="D340" s="1" t="s">
        <v>673</v>
      </c>
      <c r="E340" s="1" t="s">
        <v>38</v>
      </c>
      <c r="F340" s="1" t="s">
        <v>39</v>
      </c>
      <c r="G340" s="2">
        <v>-21771</v>
      </c>
      <c r="H340" s="2">
        <v>5024558.6399999997</v>
      </c>
      <c r="I340" s="1" t="s">
        <v>40</v>
      </c>
      <c r="J340" s="1" t="s">
        <v>49</v>
      </c>
      <c r="K340" s="1" t="s">
        <v>289</v>
      </c>
      <c r="L340" s="1" t="s">
        <v>39</v>
      </c>
      <c r="M340" s="1" t="s">
        <v>674</v>
      </c>
      <c r="N340" s="1" t="s">
        <v>43</v>
      </c>
    </row>
    <row r="341" spans="1:14" x14ac:dyDescent="0.25">
      <c r="A341" s="1" t="s">
        <v>675</v>
      </c>
      <c r="B341" s="1" t="s">
        <v>646</v>
      </c>
      <c r="C341" s="1" t="s">
        <v>646</v>
      </c>
      <c r="D341" s="1" t="s">
        <v>48</v>
      </c>
      <c r="E341" s="1" t="s">
        <v>38</v>
      </c>
      <c r="F341" s="1" t="s">
        <v>39</v>
      </c>
      <c r="G341" s="2">
        <v>-39</v>
      </c>
      <c r="H341" s="2">
        <v>5046329.6399999997</v>
      </c>
      <c r="I341" s="1" t="s">
        <v>40</v>
      </c>
      <c r="J341" s="1" t="s">
        <v>49</v>
      </c>
      <c r="K341" s="1" t="s">
        <v>42</v>
      </c>
      <c r="L341" s="1" t="s">
        <v>39</v>
      </c>
      <c r="M341" s="1" t="s">
        <v>39</v>
      </c>
      <c r="N341" s="1" t="s">
        <v>43</v>
      </c>
    </row>
    <row r="342" spans="1:14" x14ac:dyDescent="0.25">
      <c r="A342" s="1" t="s">
        <v>675</v>
      </c>
      <c r="B342" s="1" t="s">
        <v>646</v>
      </c>
      <c r="C342" s="1" t="s">
        <v>646</v>
      </c>
      <c r="D342" s="1" t="s">
        <v>676</v>
      </c>
      <c r="E342" s="1" t="s">
        <v>38</v>
      </c>
      <c r="F342" s="1" t="s">
        <v>39</v>
      </c>
      <c r="G342" s="2">
        <v>-4780</v>
      </c>
      <c r="H342" s="2">
        <v>5046368.6399999997</v>
      </c>
      <c r="I342" s="1" t="s">
        <v>40</v>
      </c>
      <c r="J342" s="1" t="s">
        <v>49</v>
      </c>
      <c r="K342" s="1" t="s">
        <v>283</v>
      </c>
      <c r="L342" s="1" t="s">
        <v>39</v>
      </c>
      <c r="M342" s="1" t="s">
        <v>677</v>
      </c>
      <c r="N342" s="1" t="s">
        <v>43</v>
      </c>
    </row>
    <row r="343" spans="1:14" x14ac:dyDescent="0.25">
      <c r="A343" s="1" t="s">
        <v>678</v>
      </c>
      <c r="B343" s="1" t="s">
        <v>679</v>
      </c>
      <c r="C343" s="1" t="s">
        <v>680</v>
      </c>
      <c r="D343" s="1" t="s">
        <v>681</v>
      </c>
      <c r="E343" s="1" t="s">
        <v>38</v>
      </c>
      <c r="F343" s="1" t="s">
        <v>39</v>
      </c>
      <c r="G343" s="2">
        <v>-10139</v>
      </c>
      <c r="H343" s="2">
        <v>5051148.6399999997</v>
      </c>
      <c r="I343" s="1" t="s">
        <v>40</v>
      </c>
      <c r="J343" s="1" t="s">
        <v>49</v>
      </c>
      <c r="K343" s="1" t="s">
        <v>289</v>
      </c>
      <c r="L343" s="1" t="s">
        <v>39</v>
      </c>
      <c r="M343" s="1" t="s">
        <v>682</v>
      </c>
      <c r="N343" s="1" t="s">
        <v>43</v>
      </c>
    </row>
    <row r="344" spans="1:14" x14ac:dyDescent="0.25">
      <c r="A344" s="1" t="s">
        <v>678</v>
      </c>
      <c r="B344" s="1" t="s">
        <v>679</v>
      </c>
      <c r="C344" s="1" t="s">
        <v>680</v>
      </c>
      <c r="D344" s="1" t="s">
        <v>48</v>
      </c>
      <c r="E344" s="1" t="s">
        <v>38</v>
      </c>
      <c r="F344" s="1" t="s">
        <v>39</v>
      </c>
      <c r="G344" s="2">
        <v>-63</v>
      </c>
      <c r="H344" s="2">
        <v>5061287.6399999997</v>
      </c>
      <c r="I344" s="1" t="s">
        <v>40</v>
      </c>
      <c r="J344" s="1" t="s">
        <v>49</v>
      </c>
      <c r="K344" s="1" t="s">
        <v>42</v>
      </c>
      <c r="L344" s="1" t="s">
        <v>39</v>
      </c>
      <c r="M344" s="1" t="s">
        <v>39</v>
      </c>
      <c r="N344" s="1" t="s">
        <v>43</v>
      </c>
    </row>
    <row r="345" spans="1:14" x14ac:dyDescent="0.25">
      <c r="A345" s="1" t="s">
        <v>683</v>
      </c>
      <c r="B345" s="1" t="s">
        <v>679</v>
      </c>
      <c r="C345" s="1" t="s">
        <v>680</v>
      </c>
      <c r="D345" s="1" t="s">
        <v>48</v>
      </c>
      <c r="E345" s="1" t="s">
        <v>38</v>
      </c>
      <c r="F345" s="1" t="s">
        <v>39</v>
      </c>
      <c r="G345" s="2">
        <v>-48</v>
      </c>
      <c r="H345" s="2">
        <v>5061350.6399999997</v>
      </c>
      <c r="I345" s="1" t="s">
        <v>40</v>
      </c>
      <c r="J345" s="1" t="s">
        <v>49</v>
      </c>
      <c r="K345" s="1" t="s">
        <v>42</v>
      </c>
      <c r="L345" s="1" t="s">
        <v>39</v>
      </c>
      <c r="M345" s="1" t="s">
        <v>39</v>
      </c>
      <c r="N345" s="1" t="s">
        <v>43</v>
      </c>
    </row>
    <row r="346" spans="1:14" x14ac:dyDescent="0.25">
      <c r="A346" s="1" t="s">
        <v>683</v>
      </c>
      <c r="B346" s="1" t="s">
        <v>679</v>
      </c>
      <c r="C346" s="1" t="s">
        <v>680</v>
      </c>
      <c r="D346" s="1" t="s">
        <v>684</v>
      </c>
      <c r="E346" s="1" t="s">
        <v>38</v>
      </c>
      <c r="F346" s="1" t="s">
        <v>39</v>
      </c>
      <c r="G346" s="2">
        <v>-7153</v>
      </c>
      <c r="H346" s="2">
        <v>5061398.6399999997</v>
      </c>
      <c r="I346" s="1" t="s">
        <v>40</v>
      </c>
      <c r="J346" s="1" t="s">
        <v>49</v>
      </c>
      <c r="K346" s="1" t="s">
        <v>283</v>
      </c>
      <c r="L346" s="1" t="s">
        <v>39</v>
      </c>
      <c r="M346" s="1" t="s">
        <v>685</v>
      </c>
      <c r="N346" s="1" t="s">
        <v>43</v>
      </c>
    </row>
    <row r="347" spans="1:14" x14ac:dyDescent="0.25">
      <c r="A347" s="1" t="s">
        <v>686</v>
      </c>
      <c r="B347" s="1" t="s">
        <v>680</v>
      </c>
      <c r="C347" s="1" t="s">
        <v>680</v>
      </c>
      <c r="D347" s="1" t="s">
        <v>687</v>
      </c>
      <c r="E347" s="1" t="s">
        <v>38</v>
      </c>
      <c r="F347" s="1" t="s">
        <v>39</v>
      </c>
      <c r="G347" s="2">
        <v>-12232</v>
      </c>
      <c r="H347" s="2">
        <v>5068551.6399999997</v>
      </c>
      <c r="I347" s="1" t="s">
        <v>40</v>
      </c>
      <c r="J347" s="1" t="s">
        <v>49</v>
      </c>
      <c r="K347" s="1" t="s">
        <v>289</v>
      </c>
      <c r="L347" s="1" t="s">
        <v>39</v>
      </c>
      <c r="M347" s="1" t="s">
        <v>688</v>
      </c>
      <c r="N347" s="1" t="s">
        <v>43</v>
      </c>
    </row>
    <row r="348" spans="1:14" x14ac:dyDescent="0.25">
      <c r="A348" s="1" t="s">
        <v>686</v>
      </c>
      <c r="B348" s="1" t="s">
        <v>680</v>
      </c>
      <c r="C348" s="1" t="s">
        <v>680</v>
      </c>
      <c r="D348" s="1" t="s">
        <v>48</v>
      </c>
      <c r="E348" s="1" t="s">
        <v>38</v>
      </c>
      <c r="F348" s="1" t="s">
        <v>39</v>
      </c>
      <c r="G348" s="2">
        <v>-63</v>
      </c>
      <c r="H348" s="2">
        <v>5080783.6399999997</v>
      </c>
      <c r="I348" s="1" t="s">
        <v>40</v>
      </c>
      <c r="J348" s="1" t="s">
        <v>49</v>
      </c>
      <c r="K348" s="1" t="s">
        <v>42</v>
      </c>
      <c r="L348" s="1" t="s">
        <v>39</v>
      </c>
      <c r="M348" s="1" t="s">
        <v>39</v>
      </c>
      <c r="N348" s="1" t="s">
        <v>43</v>
      </c>
    </row>
    <row r="349" spans="1:14" x14ac:dyDescent="0.25">
      <c r="A349" s="1" t="s">
        <v>689</v>
      </c>
      <c r="B349" s="1" t="s">
        <v>690</v>
      </c>
      <c r="C349" s="1" t="s">
        <v>691</v>
      </c>
      <c r="D349" s="1" t="s">
        <v>692</v>
      </c>
      <c r="E349" s="1" t="s">
        <v>38</v>
      </c>
      <c r="F349" s="1" t="s">
        <v>39</v>
      </c>
      <c r="G349" s="2">
        <v>-9699</v>
      </c>
      <c r="H349" s="2">
        <v>5080846.6399999997</v>
      </c>
      <c r="I349" s="1" t="s">
        <v>40</v>
      </c>
      <c r="J349" s="1" t="s">
        <v>49</v>
      </c>
      <c r="K349" s="1" t="s">
        <v>279</v>
      </c>
      <c r="L349" s="1" t="s">
        <v>39</v>
      </c>
      <c r="M349" s="1" t="s">
        <v>693</v>
      </c>
      <c r="N349" s="1" t="s">
        <v>43</v>
      </c>
    </row>
    <row r="350" spans="1:14" x14ac:dyDescent="0.25">
      <c r="A350" s="1" t="s">
        <v>689</v>
      </c>
      <c r="B350" s="1" t="s">
        <v>690</v>
      </c>
      <c r="C350" s="1" t="s">
        <v>691</v>
      </c>
      <c r="D350" s="1" t="s">
        <v>48</v>
      </c>
      <c r="E350" s="1" t="s">
        <v>38</v>
      </c>
      <c r="F350" s="1" t="s">
        <v>39</v>
      </c>
      <c r="G350" s="2">
        <v>-54</v>
      </c>
      <c r="H350" s="2">
        <v>5090545.6399999997</v>
      </c>
      <c r="I350" s="1" t="s">
        <v>40</v>
      </c>
      <c r="J350" s="1" t="s">
        <v>49</v>
      </c>
      <c r="K350" s="1" t="s">
        <v>42</v>
      </c>
      <c r="L350" s="1" t="s">
        <v>39</v>
      </c>
      <c r="M350" s="1" t="s">
        <v>39</v>
      </c>
      <c r="N350" s="1" t="s">
        <v>43</v>
      </c>
    </row>
    <row r="351" spans="1:14" x14ac:dyDescent="0.25">
      <c r="A351" s="1" t="s">
        <v>694</v>
      </c>
      <c r="B351" s="1" t="s">
        <v>690</v>
      </c>
      <c r="C351" s="1" t="s">
        <v>695</v>
      </c>
      <c r="D351" s="1" t="s">
        <v>48</v>
      </c>
      <c r="E351" s="1" t="s">
        <v>38</v>
      </c>
      <c r="F351" s="1" t="s">
        <v>39</v>
      </c>
      <c r="G351" s="2">
        <v>-39</v>
      </c>
      <c r="H351" s="2">
        <v>5090599.6399999997</v>
      </c>
      <c r="I351" s="1" t="s">
        <v>40</v>
      </c>
      <c r="J351" s="1" t="s">
        <v>49</v>
      </c>
      <c r="K351" s="1" t="s">
        <v>42</v>
      </c>
      <c r="L351" s="1" t="s">
        <v>39</v>
      </c>
      <c r="M351" s="1" t="s">
        <v>39</v>
      </c>
      <c r="N351" s="1" t="s">
        <v>43</v>
      </c>
    </row>
    <row r="352" spans="1:14" x14ac:dyDescent="0.25">
      <c r="A352" s="1" t="s">
        <v>694</v>
      </c>
      <c r="B352" s="1" t="s">
        <v>690</v>
      </c>
      <c r="C352" s="1" t="s">
        <v>695</v>
      </c>
      <c r="D352" s="1" t="s">
        <v>696</v>
      </c>
      <c r="E352" s="1" t="s">
        <v>38</v>
      </c>
      <c r="F352" s="1" t="s">
        <v>39</v>
      </c>
      <c r="G352" s="2">
        <v>-4575</v>
      </c>
      <c r="H352" s="2">
        <v>5090638.6399999997</v>
      </c>
      <c r="I352" s="1" t="s">
        <v>40</v>
      </c>
      <c r="J352" s="1" t="s">
        <v>49</v>
      </c>
      <c r="K352" s="1" t="s">
        <v>279</v>
      </c>
      <c r="L352" s="1" t="s">
        <v>39</v>
      </c>
      <c r="M352" s="1" t="s">
        <v>697</v>
      </c>
      <c r="N352" s="1" t="s">
        <v>43</v>
      </c>
    </row>
    <row r="353" spans="1:14" x14ac:dyDescent="0.25">
      <c r="A353" s="1" t="s">
        <v>698</v>
      </c>
      <c r="B353" s="1" t="s">
        <v>699</v>
      </c>
      <c r="C353" s="1" t="s">
        <v>700</v>
      </c>
      <c r="D353" s="1" t="s">
        <v>48</v>
      </c>
      <c r="E353" s="1" t="s">
        <v>38</v>
      </c>
      <c r="F353" s="1" t="s">
        <v>39</v>
      </c>
      <c r="G353" s="2">
        <v>-115</v>
      </c>
      <c r="H353" s="2">
        <v>5095213.6399999997</v>
      </c>
      <c r="I353" s="1" t="s">
        <v>40</v>
      </c>
      <c r="J353" s="1" t="s">
        <v>49</v>
      </c>
      <c r="K353" s="1" t="s">
        <v>42</v>
      </c>
      <c r="L353" s="1" t="s">
        <v>39</v>
      </c>
      <c r="M353" s="1" t="s">
        <v>39</v>
      </c>
      <c r="N353" s="1" t="s">
        <v>43</v>
      </c>
    </row>
    <row r="354" spans="1:14" x14ac:dyDescent="0.25">
      <c r="A354" s="1" t="s">
        <v>698</v>
      </c>
      <c r="B354" s="1" t="s">
        <v>699</v>
      </c>
      <c r="C354" s="1" t="s">
        <v>700</v>
      </c>
      <c r="D354" s="1" t="s">
        <v>701</v>
      </c>
      <c r="E354" s="1" t="s">
        <v>38</v>
      </c>
      <c r="F354" s="1" t="s">
        <v>39</v>
      </c>
      <c r="G354" s="2">
        <v>-56622</v>
      </c>
      <c r="H354" s="2">
        <v>5095328.6399999997</v>
      </c>
      <c r="I354" s="1" t="s">
        <v>40</v>
      </c>
      <c r="J354" s="1" t="s">
        <v>49</v>
      </c>
      <c r="K354" s="1" t="s">
        <v>279</v>
      </c>
      <c r="L354" s="1" t="s">
        <v>39</v>
      </c>
      <c r="M354" s="1" t="s">
        <v>702</v>
      </c>
      <c r="N354" s="1" t="s">
        <v>43</v>
      </c>
    </row>
    <row r="355" spans="1:14" x14ac:dyDescent="0.25">
      <c r="A355" s="1" t="s">
        <v>703</v>
      </c>
      <c r="B355" s="1" t="s">
        <v>704</v>
      </c>
      <c r="C355" s="1" t="s">
        <v>691</v>
      </c>
      <c r="D355" s="1" t="s">
        <v>705</v>
      </c>
      <c r="E355" s="1" t="s">
        <v>38</v>
      </c>
      <c r="F355" s="1" t="s">
        <v>39</v>
      </c>
      <c r="G355" s="2">
        <v>-10807</v>
      </c>
      <c r="H355" s="2">
        <v>5151950.6399999997</v>
      </c>
      <c r="I355" s="1" t="s">
        <v>40</v>
      </c>
      <c r="J355" s="1" t="s">
        <v>49</v>
      </c>
      <c r="K355" s="1" t="s">
        <v>289</v>
      </c>
      <c r="L355" s="1" t="s">
        <v>39</v>
      </c>
      <c r="M355" s="1" t="s">
        <v>706</v>
      </c>
      <c r="N355" s="1" t="s">
        <v>43</v>
      </c>
    </row>
    <row r="356" spans="1:14" x14ac:dyDescent="0.25">
      <c r="A356" s="1" t="s">
        <v>703</v>
      </c>
      <c r="B356" s="1" t="s">
        <v>704</v>
      </c>
      <c r="C356" s="1" t="s">
        <v>691</v>
      </c>
      <c r="D356" s="1" t="s">
        <v>48</v>
      </c>
      <c r="E356" s="1" t="s">
        <v>38</v>
      </c>
      <c r="F356" s="1" t="s">
        <v>39</v>
      </c>
      <c r="G356" s="2">
        <v>-63</v>
      </c>
      <c r="H356" s="2">
        <v>5162757.6399999997</v>
      </c>
      <c r="I356" s="1" t="s">
        <v>40</v>
      </c>
      <c r="J356" s="1" t="s">
        <v>49</v>
      </c>
      <c r="K356" s="1" t="s">
        <v>42</v>
      </c>
      <c r="L356" s="1" t="s">
        <v>39</v>
      </c>
      <c r="M356" s="1" t="s">
        <v>39</v>
      </c>
      <c r="N356" s="1" t="s">
        <v>43</v>
      </c>
    </row>
    <row r="357" spans="1:14" x14ac:dyDescent="0.25">
      <c r="A357" s="1" t="s">
        <v>707</v>
      </c>
      <c r="B357" s="1" t="s">
        <v>700</v>
      </c>
      <c r="C357" s="1" t="s">
        <v>700</v>
      </c>
      <c r="D357" s="1" t="s">
        <v>48</v>
      </c>
      <c r="E357" s="1" t="s">
        <v>38</v>
      </c>
      <c r="F357" s="1" t="s">
        <v>39</v>
      </c>
      <c r="G357" s="2">
        <v>-48</v>
      </c>
      <c r="H357" s="2">
        <v>5162820.6399999997</v>
      </c>
      <c r="I357" s="1" t="s">
        <v>40</v>
      </c>
      <c r="J357" s="1" t="s">
        <v>49</v>
      </c>
      <c r="K357" s="1" t="s">
        <v>42</v>
      </c>
      <c r="L357" s="1" t="s">
        <v>39</v>
      </c>
      <c r="M357" s="1" t="s">
        <v>39</v>
      </c>
      <c r="N357" s="1" t="s">
        <v>43</v>
      </c>
    </row>
    <row r="358" spans="1:14" x14ac:dyDescent="0.25">
      <c r="A358" s="1" t="s">
        <v>707</v>
      </c>
      <c r="B358" s="1" t="s">
        <v>700</v>
      </c>
      <c r="C358" s="1" t="s">
        <v>700</v>
      </c>
      <c r="D358" s="1" t="s">
        <v>708</v>
      </c>
      <c r="E358" s="1" t="s">
        <v>38</v>
      </c>
      <c r="F358" s="1" t="s">
        <v>39</v>
      </c>
      <c r="G358" s="2">
        <v>-5244</v>
      </c>
      <c r="H358" s="2">
        <v>5162868.6399999997</v>
      </c>
      <c r="I358" s="1" t="s">
        <v>40</v>
      </c>
      <c r="J358" s="1" t="s">
        <v>49</v>
      </c>
      <c r="K358" s="1" t="s">
        <v>283</v>
      </c>
      <c r="L358" s="1" t="s">
        <v>39</v>
      </c>
      <c r="M358" s="1" t="s">
        <v>709</v>
      </c>
      <c r="N358" s="1" t="s">
        <v>43</v>
      </c>
    </row>
    <row r="359" spans="1:14" x14ac:dyDescent="0.25">
      <c r="A359" s="1" t="s">
        <v>710</v>
      </c>
      <c r="B359" s="1" t="s">
        <v>700</v>
      </c>
      <c r="C359" s="1" t="s">
        <v>700</v>
      </c>
      <c r="D359" s="1" t="s">
        <v>48</v>
      </c>
      <c r="E359" s="1" t="s">
        <v>38</v>
      </c>
      <c r="F359" s="1" t="s">
        <v>39</v>
      </c>
      <c r="G359" s="2">
        <v>-30</v>
      </c>
      <c r="H359" s="2">
        <v>5168112.6399999997</v>
      </c>
      <c r="I359" s="1" t="s">
        <v>40</v>
      </c>
      <c r="J359" s="1" t="s">
        <v>49</v>
      </c>
      <c r="K359" s="1" t="s">
        <v>42</v>
      </c>
      <c r="L359" s="1" t="s">
        <v>39</v>
      </c>
      <c r="M359" s="1" t="s">
        <v>39</v>
      </c>
      <c r="N359" s="1" t="s">
        <v>43</v>
      </c>
    </row>
    <row r="360" spans="1:14" x14ac:dyDescent="0.25">
      <c r="A360" s="1" t="s">
        <v>710</v>
      </c>
      <c r="B360" s="1" t="s">
        <v>700</v>
      </c>
      <c r="C360" s="1" t="s">
        <v>700</v>
      </c>
      <c r="D360" s="1" t="s">
        <v>711</v>
      </c>
      <c r="E360" s="1" t="s">
        <v>38</v>
      </c>
      <c r="F360" s="1" t="s">
        <v>39</v>
      </c>
      <c r="G360" s="2">
        <v>-2940</v>
      </c>
      <c r="H360" s="2">
        <v>5168142.6399999997</v>
      </c>
      <c r="I360" s="1" t="s">
        <v>40</v>
      </c>
      <c r="J360" s="1" t="s">
        <v>49</v>
      </c>
      <c r="K360" s="1" t="s">
        <v>283</v>
      </c>
      <c r="L360" s="1" t="s">
        <v>39</v>
      </c>
      <c r="M360" s="1" t="s">
        <v>712</v>
      </c>
      <c r="N360" s="1" t="s">
        <v>43</v>
      </c>
    </row>
    <row r="361" spans="1:14" x14ac:dyDescent="0.25">
      <c r="A361" s="1" t="s">
        <v>713</v>
      </c>
      <c r="B361" s="1" t="s">
        <v>714</v>
      </c>
      <c r="C361" s="1" t="s">
        <v>714</v>
      </c>
      <c r="D361" s="1" t="s">
        <v>715</v>
      </c>
      <c r="E361" s="1" t="s">
        <v>38</v>
      </c>
      <c r="F361" s="1" t="s">
        <v>39</v>
      </c>
      <c r="G361" s="2">
        <v>-9784</v>
      </c>
      <c r="H361" s="2">
        <v>5171082.6399999997</v>
      </c>
      <c r="I361" s="1" t="s">
        <v>40</v>
      </c>
      <c r="J361" s="1" t="s">
        <v>49</v>
      </c>
      <c r="K361" s="1" t="s">
        <v>289</v>
      </c>
      <c r="L361" s="1" t="s">
        <v>39</v>
      </c>
      <c r="M361" s="1" t="s">
        <v>716</v>
      </c>
      <c r="N361" s="1" t="s">
        <v>43</v>
      </c>
    </row>
    <row r="362" spans="1:14" x14ac:dyDescent="0.25">
      <c r="A362" s="1" t="s">
        <v>713</v>
      </c>
      <c r="B362" s="1" t="s">
        <v>714</v>
      </c>
      <c r="C362" s="1" t="s">
        <v>714</v>
      </c>
      <c r="D362" s="1" t="s">
        <v>48</v>
      </c>
      <c r="E362" s="1" t="s">
        <v>38</v>
      </c>
      <c r="F362" s="1" t="s">
        <v>39</v>
      </c>
      <c r="G362" s="2">
        <v>-54</v>
      </c>
      <c r="H362" s="2">
        <v>5180866.6399999997</v>
      </c>
      <c r="I362" s="1" t="s">
        <v>40</v>
      </c>
      <c r="J362" s="1" t="s">
        <v>49</v>
      </c>
      <c r="K362" s="1" t="s">
        <v>42</v>
      </c>
      <c r="L362" s="1" t="s">
        <v>39</v>
      </c>
      <c r="M362" s="1" t="s">
        <v>39</v>
      </c>
      <c r="N362" s="1" t="s">
        <v>43</v>
      </c>
    </row>
    <row r="363" spans="1:14" x14ac:dyDescent="0.25">
      <c r="A363" s="1" t="s">
        <v>717</v>
      </c>
      <c r="B363" s="1" t="s">
        <v>714</v>
      </c>
      <c r="C363" s="1" t="s">
        <v>714</v>
      </c>
      <c r="D363" s="1" t="s">
        <v>48</v>
      </c>
      <c r="E363" s="1" t="s">
        <v>38</v>
      </c>
      <c r="F363" s="1" t="s">
        <v>39</v>
      </c>
      <c r="G363" s="2">
        <v>-54</v>
      </c>
      <c r="H363" s="2">
        <v>5180920.6399999997</v>
      </c>
      <c r="I363" s="1" t="s">
        <v>40</v>
      </c>
      <c r="J363" s="1" t="s">
        <v>49</v>
      </c>
      <c r="K363" s="1" t="s">
        <v>42</v>
      </c>
      <c r="L363" s="1" t="s">
        <v>39</v>
      </c>
      <c r="M363" s="1" t="s">
        <v>39</v>
      </c>
      <c r="N363" s="1" t="s">
        <v>43</v>
      </c>
    </row>
    <row r="364" spans="1:14" x14ac:dyDescent="0.25">
      <c r="A364" s="1" t="s">
        <v>717</v>
      </c>
      <c r="B364" s="1" t="s">
        <v>714</v>
      </c>
      <c r="C364" s="1" t="s">
        <v>714</v>
      </c>
      <c r="D364" s="1" t="s">
        <v>718</v>
      </c>
      <c r="E364" s="1" t="s">
        <v>38</v>
      </c>
      <c r="F364" s="1" t="s">
        <v>39</v>
      </c>
      <c r="G364" s="2">
        <v>-8799</v>
      </c>
      <c r="H364" s="2">
        <v>5180974.6399999997</v>
      </c>
      <c r="I364" s="1" t="s">
        <v>40</v>
      </c>
      <c r="J364" s="1" t="s">
        <v>49</v>
      </c>
      <c r="K364" s="1" t="s">
        <v>283</v>
      </c>
      <c r="L364" s="1" t="s">
        <v>39</v>
      </c>
      <c r="M364" s="1" t="s">
        <v>719</v>
      </c>
      <c r="N364" s="1" t="s">
        <v>43</v>
      </c>
    </row>
    <row r="365" spans="1:14" x14ac:dyDescent="0.25">
      <c r="A365" s="1" t="s">
        <v>720</v>
      </c>
      <c r="B365" s="1" t="s">
        <v>714</v>
      </c>
      <c r="C365" s="1" t="s">
        <v>714</v>
      </c>
      <c r="D365" s="1" t="s">
        <v>721</v>
      </c>
      <c r="E365" s="1" t="s">
        <v>38</v>
      </c>
      <c r="F365" s="1" t="s">
        <v>39</v>
      </c>
      <c r="G365" s="2">
        <v>-5056</v>
      </c>
      <c r="H365" s="2">
        <v>5189773.6399999997</v>
      </c>
      <c r="I365" s="1" t="s">
        <v>40</v>
      </c>
      <c r="J365" s="1" t="s">
        <v>49</v>
      </c>
      <c r="K365" s="1" t="s">
        <v>289</v>
      </c>
      <c r="L365" s="1" t="s">
        <v>39</v>
      </c>
      <c r="M365" s="1" t="s">
        <v>722</v>
      </c>
      <c r="N365" s="1" t="s">
        <v>43</v>
      </c>
    </row>
    <row r="366" spans="1:14" x14ac:dyDescent="0.25">
      <c r="A366" s="1" t="s">
        <v>720</v>
      </c>
      <c r="B366" s="1" t="s">
        <v>714</v>
      </c>
      <c r="C366" s="1" t="s">
        <v>714</v>
      </c>
      <c r="D366" s="1" t="s">
        <v>48</v>
      </c>
      <c r="E366" s="1" t="s">
        <v>38</v>
      </c>
      <c r="F366" s="1" t="s">
        <v>39</v>
      </c>
      <c r="G366" s="2">
        <v>-48</v>
      </c>
      <c r="H366" s="2">
        <v>5194829.6399999997</v>
      </c>
      <c r="I366" s="1" t="s">
        <v>40</v>
      </c>
      <c r="J366" s="1" t="s">
        <v>49</v>
      </c>
      <c r="K366" s="1" t="s">
        <v>42</v>
      </c>
      <c r="L366" s="1" t="s">
        <v>39</v>
      </c>
      <c r="M366" s="1" t="s">
        <v>39</v>
      </c>
      <c r="N366" s="1" t="s">
        <v>43</v>
      </c>
    </row>
    <row r="367" spans="1:14" x14ac:dyDescent="0.25">
      <c r="A367" s="1" t="s">
        <v>723</v>
      </c>
      <c r="B367" s="1" t="s">
        <v>724</v>
      </c>
      <c r="C367" s="1" t="s">
        <v>724</v>
      </c>
      <c r="D367" s="1" t="s">
        <v>48</v>
      </c>
      <c r="E367" s="1" t="s">
        <v>38</v>
      </c>
      <c r="F367" s="1" t="s">
        <v>39</v>
      </c>
      <c r="G367" s="2">
        <v>-39</v>
      </c>
      <c r="H367" s="2">
        <v>5194877.6399999997</v>
      </c>
      <c r="I367" s="1" t="s">
        <v>40</v>
      </c>
      <c r="J367" s="1" t="s">
        <v>49</v>
      </c>
      <c r="K367" s="1" t="s">
        <v>42</v>
      </c>
      <c r="L367" s="1" t="s">
        <v>39</v>
      </c>
      <c r="M367" s="1" t="s">
        <v>39</v>
      </c>
      <c r="N367" s="1" t="s">
        <v>43</v>
      </c>
    </row>
    <row r="368" spans="1:14" x14ac:dyDescent="0.25">
      <c r="A368" s="1" t="s">
        <v>723</v>
      </c>
      <c r="B368" s="1" t="s">
        <v>724</v>
      </c>
      <c r="C368" s="1" t="s">
        <v>724</v>
      </c>
      <c r="D368" s="1" t="s">
        <v>725</v>
      </c>
      <c r="E368" s="1" t="s">
        <v>38</v>
      </c>
      <c r="F368" s="1" t="s">
        <v>39</v>
      </c>
      <c r="G368" s="2">
        <v>-4281</v>
      </c>
      <c r="H368" s="2">
        <v>5194916.6399999997</v>
      </c>
      <c r="I368" s="1" t="s">
        <v>40</v>
      </c>
      <c r="J368" s="1" t="s">
        <v>49</v>
      </c>
      <c r="K368" s="1" t="s">
        <v>283</v>
      </c>
      <c r="L368" s="1" t="s">
        <v>39</v>
      </c>
      <c r="M368" s="1" t="s">
        <v>726</v>
      </c>
      <c r="N368" s="1" t="s">
        <v>43</v>
      </c>
    </row>
    <row r="369" spans="1:14" x14ac:dyDescent="0.25">
      <c r="A369" s="1" t="s">
        <v>727</v>
      </c>
      <c r="B369" s="1" t="s">
        <v>728</v>
      </c>
      <c r="C369" s="1" t="s">
        <v>728</v>
      </c>
      <c r="D369" s="1" t="s">
        <v>48</v>
      </c>
      <c r="E369" s="1" t="s">
        <v>38</v>
      </c>
      <c r="F369" s="1" t="s">
        <v>39</v>
      </c>
      <c r="G369" s="2">
        <v>-48</v>
      </c>
      <c r="H369" s="2">
        <v>5199197.6399999997</v>
      </c>
      <c r="I369" s="1" t="s">
        <v>40</v>
      </c>
      <c r="J369" s="1" t="s">
        <v>49</v>
      </c>
      <c r="K369" s="1" t="s">
        <v>42</v>
      </c>
      <c r="L369" s="1" t="s">
        <v>39</v>
      </c>
      <c r="M369" s="1" t="s">
        <v>39</v>
      </c>
      <c r="N369" s="1" t="s">
        <v>43</v>
      </c>
    </row>
    <row r="370" spans="1:14" x14ac:dyDescent="0.25">
      <c r="A370" s="1" t="s">
        <v>727</v>
      </c>
      <c r="B370" s="1" t="s">
        <v>728</v>
      </c>
      <c r="C370" s="1" t="s">
        <v>728</v>
      </c>
      <c r="D370" s="1" t="s">
        <v>729</v>
      </c>
      <c r="E370" s="1" t="s">
        <v>38</v>
      </c>
      <c r="F370" s="1" t="s">
        <v>39</v>
      </c>
      <c r="G370" s="2">
        <v>-5286</v>
      </c>
      <c r="H370" s="2">
        <v>5199245.6399999997</v>
      </c>
      <c r="I370" s="1" t="s">
        <v>40</v>
      </c>
      <c r="J370" s="1" t="s">
        <v>49</v>
      </c>
      <c r="K370" s="1" t="s">
        <v>283</v>
      </c>
      <c r="L370" s="1" t="s">
        <v>39</v>
      </c>
      <c r="M370" s="1" t="s">
        <v>730</v>
      </c>
      <c r="N370" s="1" t="s">
        <v>43</v>
      </c>
    </row>
    <row r="371" spans="1:14" x14ac:dyDescent="0.25">
      <c r="A371" s="1" t="s">
        <v>731</v>
      </c>
      <c r="B371" s="1" t="s">
        <v>732</v>
      </c>
      <c r="C371" s="1" t="s">
        <v>732</v>
      </c>
      <c r="D371" s="1" t="s">
        <v>48</v>
      </c>
      <c r="E371" s="1" t="s">
        <v>38</v>
      </c>
      <c r="F371" s="1" t="s">
        <v>39</v>
      </c>
      <c r="G371" s="2">
        <v>-18</v>
      </c>
      <c r="H371" s="2">
        <v>5204531.6399999997</v>
      </c>
      <c r="I371" s="1" t="s">
        <v>40</v>
      </c>
      <c r="J371" s="1" t="s">
        <v>49</v>
      </c>
      <c r="K371" s="1" t="s">
        <v>42</v>
      </c>
      <c r="L371" s="1" t="s">
        <v>39</v>
      </c>
      <c r="M371" s="1" t="s">
        <v>39</v>
      </c>
      <c r="N371" s="1" t="s">
        <v>43</v>
      </c>
    </row>
    <row r="372" spans="1:14" x14ac:dyDescent="0.25">
      <c r="A372" s="1" t="s">
        <v>731</v>
      </c>
      <c r="B372" s="1" t="s">
        <v>732</v>
      </c>
      <c r="C372" s="1" t="s">
        <v>732</v>
      </c>
      <c r="D372" s="1" t="s">
        <v>733</v>
      </c>
      <c r="E372" s="1" t="s">
        <v>38</v>
      </c>
      <c r="F372" s="1" t="s">
        <v>39</v>
      </c>
      <c r="G372" s="2">
        <v>-1289</v>
      </c>
      <c r="H372" s="2">
        <v>5204549.6399999997</v>
      </c>
      <c r="I372" s="1" t="s">
        <v>40</v>
      </c>
      <c r="J372" s="1" t="s">
        <v>49</v>
      </c>
      <c r="K372" s="1" t="s">
        <v>283</v>
      </c>
      <c r="L372" s="1" t="s">
        <v>39</v>
      </c>
      <c r="M372" s="1" t="s">
        <v>734</v>
      </c>
      <c r="N372" s="1" t="s">
        <v>43</v>
      </c>
    </row>
    <row r="373" spans="1:14" x14ac:dyDescent="0.25">
      <c r="A373" s="1" t="s">
        <v>735</v>
      </c>
      <c r="B373" s="1" t="s">
        <v>732</v>
      </c>
      <c r="C373" s="1" t="s">
        <v>732</v>
      </c>
      <c r="D373" s="1" t="s">
        <v>48</v>
      </c>
      <c r="E373" s="1" t="s">
        <v>38</v>
      </c>
      <c r="F373" s="1" t="s">
        <v>39</v>
      </c>
      <c r="G373" s="2">
        <v>-39</v>
      </c>
      <c r="H373" s="2">
        <v>5205838.6399999997</v>
      </c>
      <c r="I373" s="1" t="s">
        <v>40</v>
      </c>
      <c r="J373" s="1" t="s">
        <v>49</v>
      </c>
      <c r="K373" s="1" t="s">
        <v>42</v>
      </c>
      <c r="L373" s="1" t="s">
        <v>39</v>
      </c>
      <c r="M373" s="1" t="s">
        <v>39</v>
      </c>
      <c r="N373" s="1" t="s">
        <v>43</v>
      </c>
    </row>
    <row r="374" spans="1:14" x14ac:dyDescent="0.25">
      <c r="A374" s="1" t="s">
        <v>735</v>
      </c>
      <c r="B374" s="1" t="s">
        <v>732</v>
      </c>
      <c r="C374" s="1" t="s">
        <v>732</v>
      </c>
      <c r="D374" s="1" t="s">
        <v>736</v>
      </c>
      <c r="E374" s="1" t="s">
        <v>38</v>
      </c>
      <c r="F374" s="1" t="s">
        <v>39</v>
      </c>
      <c r="G374" s="2">
        <v>-4815</v>
      </c>
      <c r="H374" s="2">
        <v>5205877.6399999997</v>
      </c>
      <c r="I374" s="1" t="s">
        <v>40</v>
      </c>
      <c r="J374" s="1" t="s">
        <v>49</v>
      </c>
      <c r="K374" s="1" t="s">
        <v>283</v>
      </c>
      <c r="L374" s="1" t="s">
        <v>39</v>
      </c>
      <c r="M374" s="1" t="s">
        <v>737</v>
      </c>
      <c r="N374" s="1" t="s">
        <v>43</v>
      </c>
    </row>
    <row r="375" spans="1:14" x14ac:dyDescent="0.25">
      <c r="A375" s="1" t="s">
        <v>738</v>
      </c>
      <c r="B375" s="1" t="s">
        <v>739</v>
      </c>
      <c r="C375" s="1" t="s">
        <v>740</v>
      </c>
      <c r="D375" s="1" t="s">
        <v>741</v>
      </c>
      <c r="E375" s="1" t="s">
        <v>38</v>
      </c>
      <c r="F375" s="1" t="s">
        <v>39</v>
      </c>
      <c r="G375" s="2">
        <v>-20300</v>
      </c>
      <c r="H375" s="2">
        <v>5210692.6399999997</v>
      </c>
      <c r="I375" s="1" t="s">
        <v>40</v>
      </c>
      <c r="J375" s="1" t="s">
        <v>49</v>
      </c>
      <c r="K375" s="1" t="s">
        <v>742</v>
      </c>
      <c r="L375" s="1" t="s">
        <v>39</v>
      </c>
      <c r="M375" s="1" t="s">
        <v>743</v>
      </c>
      <c r="N375" s="1" t="s">
        <v>43</v>
      </c>
    </row>
    <row r="376" spans="1:14" x14ac:dyDescent="0.25">
      <c r="A376" s="1" t="s">
        <v>738</v>
      </c>
      <c r="B376" s="1" t="s">
        <v>739</v>
      </c>
      <c r="C376" s="1" t="s">
        <v>740</v>
      </c>
      <c r="D376" s="1" t="s">
        <v>48</v>
      </c>
      <c r="E376" s="1" t="s">
        <v>38</v>
      </c>
      <c r="F376" s="1" t="s">
        <v>39</v>
      </c>
      <c r="G376" s="2">
        <v>-74</v>
      </c>
      <c r="H376" s="2">
        <v>5230992.6399999997</v>
      </c>
      <c r="I376" s="1" t="s">
        <v>40</v>
      </c>
      <c r="J376" s="1" t="s">
        <v>49</v>
      </c>
      <c r="K376" s="1" t="s">
        <v>42</v>
      </c>
      <c r="L376" s="1" t="s">
        <v>39</v>
      </c>
      <c r="M376" s="1" t="s">
        <v>39</v>
      </c>
      <c r="N376" s="1" t="s">
        <v>43</v>
      </c>
    </row>
    <row r="377" spans="1:14" x14ac:dyDescent="0.25">
      <c r="A377" s="1" t="s">
        <v>744</v>
      </c>
      <c r="B377" s="1" t="s">
        <v>745</v>
      </c>
      <c r="C377" s="1" t="s">
        <v>745</v>
      </c>
      <c r="D377" s="1" t="s">
        <v>48</v>
      </c>
      <c r="E377" s="1" t="s">
        <v>38</v>
      </c>
      <c r="F377" s="1" t="s">
        <v>39</v>
      </c>
      <c r="G377" s="2">
        <v>-30</v>
      </c>
      <c r="H377" s="2">
        <v>5231066.6399999997</v>
      </c>
      <c r="I377" s="1" t="s">
        <v>40</v>
      </c>
      <c r="J377" s="1" t="s">
        <v>49</v>
      </c>
      <c r="K377" s="1" t="s">
        <v>42</v>
      </c>
      <c r="L377" s="1" t="s">
        <v>39</v>
      </c>
      <c r="M377" s="1" t="s">
        <v>39</v>
      </c>
      <c r="N377" s="1" t="s">
        <v>43</v>
      </c>
    </row>
    <row r="378" spans="1:14" x14ac:dyDescent="0.25">
      <c r="A378" s="1" t="s">
        <v>744</v>
      </c>
      <c r="B378" s="1" t="s">
        <v>745</v>
      </c>
      <c r="C378" s="1" t="s">
        <v>745</v>
      </c>
      <c r="D378" s="1" t="s">
        <v>746</v>
      </c>
      <c r="E378" s="1" t="s">
        <v>38</v>
      </c>
      <c r="F378" s="1" t="s">
        <v>39</v>
      </c>
      <c r="G378" s="2">
        <v>-2750</v>
      </c>
      <c r="H378" s="2">
        <v>5231096.6399999997</v>
      </c>
      <c r="I378" s="1" t="s">
        <v>40</v>
      </c>
      <c r="J378" s="1" t="s">
        <v>49</v>
      </c>
      <c r="K378" s="1" t="s">
        <v>228</v>
      </c>
      <c r="L378" s="1" t="s">
        <v>39</v>
      </c>
      <c r="M378" s="1" t="s">
        <v>747</v>
      </c>
      <c r="N378" s="1" t="s">
        <v>43</v>
      </c>
    </row>
    <row r="379" spans="1:14" x14ac:dyDescent="0.25">
      <c r="A379" s="1" t="s">
        <v>748</v>
      </c>
      <c r="B379" s="1" t="s">
        <v>749</v>
      </c>
      <c r="C379" s="1" t="s">
        <v>749</v>
      </c>
      <c r="D379" s="1" t="s">
        <v>37</v>
      </c>
      <c r="E379" s="1" t="s">
        <v>38</v>
      </c>
      <c r="F379" s="1" t="s">
        <v>39</v>
      </c>
      <c r="G379" s="2">
        <v>-63</v>
      </c>
      <c r="H379" s="2">
        <v>5233846.6399999997</v>
      </c>
      <c r="I379" s="1" t="s">
        <v>40</v>
      </c>
      <c r="J379" s="1" t="s">
        <v>41</v>
      </c>
      <c r="K379" s="1" t="s">
        <v>42</v>
      </c>
      <c r="L379" s="1" t="s">
        <v>39</v>
      </c>
      <c r="M379" s="1" t="s">
        <v>39</v>
      </c>
      <c r="N379" s="1" t="s">
        <v>43</v>
      </c>
    </row>
    <row r="380" spans="1:14" x14ac:dyDescent="0.25">
      <c r="A380" s="1" t="s">
        <v>748</v>
      </c>
      <c r="B380" s="1" t="s">
        <v>749</v>
      </c>
      <c r="C380" s="1" t="s">
        <v>749</v>
      </c>
      <c r="D380" s="1" t="s">
        <v>750</v>
      </c>
      <c r="E380" s="1" t="s">
        <v>38</v>
      </c>
      <c r="F380" s="1" t="s">
        <v>39</v>
      </c>
      <c r="G380" s="2">
        <v>-10105</v>
      </c>
      <c r="H380" s="2">
        <v>5233909.6399999997</v>
      </c>
      <c r="I380" s="1" t="s">
        <v>40</v>
      </c>
      <c r="J380" s="1" t="s">
        <v>41</v>
      </c>
      <c r="K380" s="1" t="s">
        <v>751</v>
      </c>
      <c r="L380" s="1" t="s">
        <v>39</v>
      </c>
      <c r="M380" s="1" t="s">
        <v>39</v>
      </c>
      <c r="N380" s="1" t="s">
        <v>43</v>
      </c>
    </row>
    <row r="381" spans="1:14" x14ac:dyDescent="0.25">
      <c r="A381" s="1" t="s">
        <v>752</v>
      </c>
      <c r="B381" s="1" t="s">
        <v>753</v>
      </c>
      <c r="C381" s="1" t="s">
        <v>753</v>
      </c>
      <c r="D381" s="1" t="s">
        <v>48</v>
      </c>
      <c r="E381" s="1" t="s">
        <v>38</v>
      </c>
      <c r="F381" s="1" t="s">
        <v>39</v>
      </c>
      <c r="G381" s="2">
        <v>-8</v>
      </c>
      <c r="H381" s="2">
        <v>5244014.6399999997</v>
      </c>
      <c r="I381" s="1" t="s">
        <v>40</v>
      </c>
      <c r="J381" s="1" t="s">
        <v>49</v>
      </c>
      <c r="K381" s="1" t="s">
        <v>42</v>
      </c>
      <c r="L381" s="1" t="s">
        <v>39</v>
      </c>
      <c r="M381" s="1" t="s">
        <v>39</v>
      </c>
      <c r="N381" s="1" t="s">
        <v>43</v>
      </c>
    </row>
    <row r="382" spans="1:14" x14ac:dyDescent="0.25">
      <c r="A382" s="1" t="s">
        <v>752</v>
      </c>
      <c r="B382" s="1" t="s">
        <v>753</v>
      </c>
      <c r="C382" s="1" t="s">
        <v>753</v>
      </c>
      <c r="D382" s="1" t="s">
        <v>754</v>
      </c>
      <c r="E382" s="1" t="s">
        <v>38</v>
      </c>
      <c r="F382" s="1" t="s">
        <v>39</v>
      </c>
      <c r="G382" s="2">
        <v>-140</v>
      </c>
      <c r="H382" s="2">
        <v>5244022.6399999997</v>
      </c>
      <c r="I382" s="1" t="s">
        <v>40</v>
      </c>
      <c r="J382" s="1" t="s">
        <v>49</v>
      </c>
      <c r="K382" s="1" t="s">
        <v>755</v>
      </c>
      <c r="L382" s="1" t="s">
        <v>39</v>
      </c>
      <c r="M382" s="1" t="s">
        <v>756</v>
      </c>
      <c r="N382" s="1" t="s">
        <v>43</v>
      </c>
    </row>
    <row r="383" spans="1:14" x14ac:dyDescent="0.25">
      <c r="A383" s="1" t="s">
        <v>757</v>
      </c>
      <c r="B383" s="1" t="s">
        <v>758</v>
      </c>
      <c r="C383" s="1" t="s">
        <v>759</v>
      </c>
      <c r="D383" s="1" t="s">
        <v>48</v>
      </c>
      <c r="E383" s="1" t="s">
        <v>38</v>
      </c>
      <c r="F383" s="1" t="s">
        <v>39</v>
      </c>
      <c r="G383" s="2">
        <v>-8</v>
      </c>
      <c r="H383" s="2">
        <v>5244162.6399999997</v>
      </c>
      <c r="I383" s="1" t="s">
        <v>40</v>
      </c>
      <c r="J383" s="1" t="s">
        <v>49</v>
      </c>
      <c r="K383" s="1" t="s">
        <v>42</v>
      </c>
      <c r="L383" s="1" t="s">
        <v>39</v>
      </c>
      <c r="M383" s="1" t="s">
        <v>39</v>
      </c>
      <c r="N383" s="1" t="s">
        <v>43</v>
      </c>
    </row>
    <row r="384" spans="1:14" x14ac:dyDescent="0.25">
      <c r="A384" s="1" t="s">
        <v>757</v>
      </c>
      <c r="B384" s="1" t="s">
        <v>758</v>
      </c>
      <c r="C384" s="1" t="s">
        <v>759</v>
      </c>
      <c r="D384" s="1" t="s">
        <v>652</v>
      </c>
      <c r="E384" s="1" t="s">
        <v>38</v>
      </c>
      <c r="F384" s="1" t="s">
        <v>39</v>
      </c>
      <c r="G384" s="2">
        <v>-410</v>
      </c>
      <c r="H384" s="2">
        <v>5244170.6399999997</v>
      </c>
      <c r="I384" s="1" t="s">
        <v>40</v>
      </c>
      <c r="J384" s="1" t="s">
        <v>49</v>
      </c>
      <c r="K384" s="1" t="s">
        <v>279</v>
      </c>
      <c r="L384" s="1" t="s">
        <v>39</v>
      </c>
      <c r="M384" s="1" t="s">
        <v>653</v>
      </c>
      <c r="N384" s="1" t="s">
        <v>43</v>
      </c>
    </row>
    <row r="385" spans="1:14" x14ac:dyDescent="0.25">
      <c r="A385" s="1" t="s">
        <v>760</v>
      </c>
      <c r="B385" s="1" t="s">
        <v>761</v>
      </c>
      <c r="C385" s="1" t="s">
        <v>762</v>
      </c>
      <c r="D385" s="1" t="s">
        <v>48</v>
      </c>
      <c r="E385" s="1" t="s">
        <v>38</v>
      </c>
      <c r="F385" s="1" t="s">
        <v>39</v>
      </c>
      <c r="G385" s="2">
        <v>-8</v>
      </c>
      <c r="H385" s="2">
        <v>5244580.6399999997</v>
      </c>
      <c r="I385" s="1" t="s">
        <v>40</v>
      </c>
      <c r="J385" s="1" t="s">
        <v>49</v>
      </c>
      <c r="K385" s="1" t="s">
        <v>42</v>
      </c>
      <c r="L385" s="1" t="s">
        <v>39</v>
      </c>
      <c r="M385" s="1" t="s">
        <v>39</v>
      </c>
      <c r="N385" s="1" t="s">
        <v>43</v>
      </c>
    </row>
    <row r="386" spans="1:14" x14ac:dyDescent="0.25">
      <c r="A386" s="1" t="s">
        <v>760</v>
      </c>
      <c r="B386" s="1" t="s">
        <v>761</v>
      </c>
      <c r="C386" s="1" t="s">
        <v>762</v>
      </c>
      <c r="D386" s="1" t="s">
        <v>681</v>
      </c>
      <c r="E386" s="1" t="s">
        <v>38</v>
      </c>
      <c r="F386" s="1" t="s">
        <v>39</v>
      </c>
      <c r="G386" s="2">
        <v>-272</v>
      </c>
      <c r="H386" s="2">
        <v>5244588.6399999997</v>
      </c>
      <c r="I386" s="1" t="s">
        <v>40</v>
      </c>
      <c r="J386" s="1" t="s">
        <v>49</v>
      </c>
      <c r="K386" s="1" t="s">
        <v>289</v>
      </c>
      <c r="L386" s="1" t="s">
        <v>39</v>
      </c>
      <c r="M386" s="1" t="s">
        <v>682</v>
      </c>
      <c r="N386" s="1" t="s">
        <v>43</v>
      </c>
    </row>
    <row r="387" spans="1:14" x14ac:dyDescent="0.25">
      <c r="A387" s="1" t="s">
        <v>763</v>
      </c>
      <c r="B387" s="1" t="s">
        <v>761</v>
      </c>
      <c r="C387" s="1" t="s">
        <v>761</v>
      </c>
      <c r="D387" s="1" t="s">
        <v>48</v>
      </c>
      <c r="E387" s="1" t="s">
        <v>38</v>
      </c>
      <c r="F387" s="1" t="s">
        <v>39</v>
      </c>
      <c r="G387" s="2">
        <v>-3</v>
      </c>
      <c r="H387" s="2">
        <v>5244860.6399999997</v>
      </c>
      <c r="I387" s="1" t="s">
        <v>40</v>
      </c>
      <c r="J387" s="1" t="s">
        <v>49</v>
      </c>
      <c r="K387" s="1" t="s">
        <v>42</v>
      </c>
      <c r="L387" s="1" t="s">
        <v>39</v>
      </c>
      <c r="M387" s="1" t="s">
        <v>39</v>
      </c>
      <c r="N387" s="1" t="s">
        <v>43</v>
      </c>
    </row>
    <row r="388" spans="1:14" x14ac:dyDescent="0.25">
      <c r="A388" s="1" t="s">
        <v>763</v>
      </c>
      <c r="B388" s="1" t="s">
        <v>761</v>
      </c>
      <c r="C388" s="1" t="s">
        <v>761</v>
      </c>
      <c r="D388" s="1" t="s">
        <v>711</v>
      </c>
      <c r="E388" s="1" t="s">
        <v>38</v>
      </c>
      <c r="F388" s="1" t="s">
        <v>39</v>
      </c>
      <c r="G388" s="2">
        <v>-65</v>
      </c>
      <c r="H388" s="2">
        <v>5244863.6399999997</v>
      </c>
      <c r="I388" s="1" t="s">
        <v>40</v>
      </c>
      <c r="J388" s="1" t="s">
        <v>49</v>
      </c>
      <c r="K388" s="1" t="s">
        <v>283</v>
      </c>
      <c r="L388" s="1" t="s">
        <v>39</v>
      </c>
      <c r="M388" s="1" t="s">
        <v>712</v>
      </c>
      <c r="N388" s="1" t="s">
        <v>43</v>
      </c>
    </row>
    <row r="389" spans="1:14" x14ac:dyDescent="0.25">
      <c r="A389" s="1" t="s">
        <v>764</v>
      </c>
      <c r="B389" s="1" t="s">
        <v>765</v>
      </c>
      <c r="C389" s="1" t="s">
        <v>765</v>
      </c>
      <c r="D389" s="1" t="s">
        <v>48</v>
      </c>
      <c r="E389" s="1" t="s">
        <v>38</v>
      </c>
      <c r="F389" s="1" t="s">
        <v>39</v>
      </c>
      <c r="G389" s="2">
        <v>-3</v>
      </c>
      <c r="H389" s="2">
        <v>5244928.6399999997</v>
      </c>
      <c r="I389" s="1" t="s">
        <v>40</v>
      </c>
      <c r="J389" s="1" t="s">
        <v>49</v>
      </c>
      <c r="K389" s="1" t="s">
        <v>42</v>
      </c>
      <c r="L389" s="1" t="s">
        <v>39</v>
      </c>
      <c r="M389" s="1" t="s">
        <v>39</v>
      </c>
      <c r="N389" s="1" t="s">
        <v>43</v>
      </c>
    </row>
    <row r="390" spans="1:14" x14ac:dyDescent="0.25">
      <c r="A390" s="1" t="s">
        <v>764</v>
      </c>
      <c r="B390" s="1" t="s">
        <v>765</v>
      </c>
      <c r="C390" s="1" t="s">
        <v>765</v>
      </c>
      <c r="D390" s="1" t="s">
        <v>638</v>
      </c>
      <c r="E390" s="1" t="s">
        <v>38</v>
      </c>
      <c r="F390" s="1" t="s">
        <v>39</v>
      </c>
      <c r="G390" s="2">
        <v>-58</v>
      </c>
      <c r="H390" s="2">
        <v>5244931.6399999997</v>
      </c>
      <c r="I390" s="1" t="s">
        <v>40</v>
      </c>
      <c r="J390" s="1" t="s">
        <v>49</v>
      </c>
      <c r="K390" s="1" t="s">
        <v>283</v>
      </c>
      <c r="L390" s="1" t="s">
        <v>39</v>
      </c>
      <c r="M390" s="1" t="s">
        <v>639</v>
      </c>
      <c r="N390" s="1" t="s">
        <v>43</v>
      </c>
    </row>
    <row r="391" spans="1:14" x14ac:dyDescent="0.25">
      <c r="A391" s="1" t="s">
        <v>766</v>
      </c>
      <c r="B391" s="1" t="s">
        <v>767</v>
      </c>
      <c r="C391" s="1" t="s">
        <v>768</v>
      </c>
      <c r="D391" s="1" t="s">
        <v>48</v>
      </c>
      <c r="E391" s="1" t="s">
        <v>38</v>
      </c>
      <c r="F391" s="1" t="s">
        <v>39</v>
      </c>
      <c r="G391" s="2">
        <v>-25</v>
      </c>
      <c r="H391" s="2">
        <v>5244989.6399999997</v>
      </c>
      <c r="I391" s="1" t="s">
        <v>40</v>
      </c>
      <c r="J391" s="1" t="s">
        <v>49</v>
      </c>
      <c r="K391" s="1" t="s">
        <v>42</v>
      </c>
      <c r="L391" s="1" t="s">
        <v>39</v>
      </c>
      <c r="M391" s="1" t="s">
        <v>39</v>
      </c>
      <c r="N391" s="1" t="s">
        <v>43</v>
      </c>
    </row>
    <row r="392" spans="1:14" x14ac:dyDescent="0.25">
      <c r="A392" s="1" t="s">
        <v>766</v>
      </c>
      <c r="B392" s="1" t="s">
        <v>767</v>
      </c>
      <c r="C392" s="1" t="s">
        <v>768</v>
      </c>
      <c r="D392" s="1" t="s">
        <v>701</v>
      </c>
      <c r="E392" s="1" t="s">
        <v>38</v>
      </c>
      <c r="F392" s="1" t="s">
        <v>39</v>
      </c>
      <c r="G392" s="2">
        <v>-1560</v>
      </c>
      <c r="H392" s="2">
        <v>5245014.6399999997</v>
      </c>
      <c r="I392" s="1" t="s">
        <v>40</v>
      </c>
      <c r="J392" s="1" t="s">
        <v>49</v>
      </c>
      <c r="K392" s="1" t="s">
        <v>279</v>
      </c>
      <c r="L392" s="1" t="s">
        <v>39</v>
      </c>
      <c r="M392" s="1" t="s">
        <v>702</v>
      </c>
      <c r="N392" s="1" t="s">
        <v>43</v>
      </c>
    </row>
    <row r="393" spans="1:14" x14ac:dyDescent="0.25">
      <c r="A393" s="1" t="s">
        <v>769</v>
      </c>
      <c r="B393" s="1" t="s">
        <v>770</v>
      </c>
      <c r="C393" s="1" t="s">
        <v>770</v>
      </c>
      <c r="D393" s="1" t="s">
        <v>48</v>
      </c>
      <c r="E393" s="1" t="s">
        <v>38</v>
      </c>
      <c r="F393" s="1" t="s">
        <v>39</v>
      </c>
      <c r="G393" s="2">
        <v>-48</v>
      </c>
      <c r="H393" s="2">
        <v>5246574.6399999997</v>
      </c>
      <c r="I393" s="1" t="s">
        <v>40</v>
      </c>
      <c r="J393" s="1" t="s">
        <v>49</v>
      </c>
      <c r="K393" s="1" t="s">
        <v>42</v>
      </c>
      <c r="L393" s="1" t="s">
        <v>39</v>
      </c>
      <c r="M393" s="1" t="s">
        <v>39</v>
      </c>
      <c r="N393" s="1" t="s">
        <v>43</v>
      </c>
    </row>
    <row r="394" spans="1:14" x14ac:dyDescent="0.25">
      <c r="A394" s="1" t="s">
        <v>769</v>
      </c>
      <c r="B394" s="1" t="s">
        <v>770</v>
      </c>
      <c r="C394" s="1" t="s">
        <v>770</v>
      </c>
      <c r="D394" s="1" t="s">
        <v>771</v>
      </c>
      <c r="E394" s="1" t="s">
        <v>38</v>
      </c>
      <c r="F394" s="1" t="s">
        <v>39</v>
      </c>
      <c r="G394" s="2">
        <v>-5723</v>
      </c>
      <c r="H394" s="2">
        <v>5246622.6399999997</v>
      </c>
      <c r="I394" s="1" t="s">
        <v>40</v>
      </c>
      <c r="J394" s="1" t="s">
        <v>49</v>
      </c>
      <c r="K394" s="1" t="s">
        <v>283</v>
      </c>
      <c r="L394" s="1" t="s">
        <v>39</v>
      </c>
      <c r="M394" s="1" t="s">
        <v>772</v>
      </c>
      <c r="N394" s="1" t="s">
        <v>43</v>
      </c>
    </row>
    <row r="395" spans="1:14" x14ac:dyDescent="0.25">
      <c r="A395" s="1" t="s">
        <v>773</v>
      </c>
      <c r="B395" s="1" t="s">
        <v>770</v>
      </c>
      <c r="C395" s="1" t="s">
        <v>770</v>
      </c>
      <c r="D395" s="1" t="s">
        <v>48</v>
      </c>
      <c r="E395" s="1" t="s">
        <v>38</v>
      </c>
      <c r="F395" s="1" t="s">
        <v>39</v>
      </c>
      <c r="G395" s="2">
        <v>-13</v>
      </c>
      <c r="H395" s="2">
        <v>5252345.6399999997</v>
      </c>
      <c r="I395" s="1" t="s">
        <v>40</v>
      </c>
      <c r="J395" s="1" t="s">
        <v>49</v>
      </c>
      <c r="K395" s="1" t="s">
        <v>42</v>
      </c>
      <c r="L395" s="1" t="s">
        <v>39</v>
      </c>
      <c r="M395" s="1" t="s">
        <v>39</v>
      </c>
      <c r="N395" s="1" t="s">
        <v>43</v>
      </c>
    </row>
    <row r="396" spans="1:14" x14ac:dyDescent="0.25">
      <c r="A396" s="1" t="s">
        <v>773</v>
      </c>
      <c r="B396" s="1" t="s">
        <v>770</v>
      </c>
      <c r="C396" s="1" t="s">
        <v>770</v>
      </c>
      <c r="D396" s="1" t="s">
        <v>339</v>
      </c>
      <c r="E396" s="1" t="s">
        <v>38</v>
      </c>
      <c r="F396" s="1" t="s">
        <v>39</v>
      </c>
      <c r="G396" s="2">
        <v>-755</v>
      </c>
      <c r="H396" s="2">
        <v>5252358.6399999997</v>
      </c>
      <c r="I396" s="1" t="s">
        <v>40</v>
      </c>
      <c r="J396" s="1" t="s">
        <v>49</v>
      </c>
      <c r="K396" s="1" t="s">
        <v>283</v>
      </c>
      <c r="L396" s="1" t="s">
        <v>39</v>
      </c>
      <c r="M396" s="1" t="s">
        <v>340</v>
      </c>
      <c r="N396" s="1" t="s">
        <v>43</v>
      </c>
    </row>
    <row r="397" spans="1:14" x14ac:dyDescent="0.25">
      <c r="A397" s="1" t="s">
        <v>774</v>
      </c>
      <c r="B397" s="1" t="s">
        <v>775</v>
      </c>
      <c r="C397" s="1" t="s">
        <v>775</v>
      </c>
      <c r="D397" s="1" t="s">
        <v>48</v>
      </c>
      <c r="E397" s="1" t="s">
        <v>38</v>
      </c>
      <c r="F397" s="1" t="s">
        <v>39</v>
      </c>
      <c r="G397" s="2">
        <v>-18</v>
      </c>
      <c r="H397" s="2">
        <v>5253113.6399999997</v>
      </c>
      <c r="I397" s="1" t="s">
        <v>40</v>
      </c>
      <c r="J397" s="1" t="s">
        <v>49</v>
      </c>
      <c r="K397" s="1" t="s">
        <v>42</v>
      </c>
      <c r="L397" s="1" t="s">
        <v>39</v>
      </c>
      <c r="M397" s="1" t="s">
        <v>39</v>
      </c>
      <c r="N397" s="1" t="s">
        <v>43</v>
      </c>
    </row>
    <row r="398" spans="1:14" x14ac:dyDescent="0.25">
      <c r="A398" s="1" t="s">
        <v>774</v>
      </c>
      <c r="B398" s="1" t="s">
        <v>775</v>
      </c>
      <c r="C398" s="1" t="s">
        <v>775</v>
      </c>
      <c r="D398" s="1" t="s">
        <v>326</v>
      </c>
      <c r="E398" s="1" t="s">
        <v>38</v>
      </c>
      <c r="F398" s="1" t="s">
        <v>39</v>
      </c>
      <c r="G398" s="2">
        <v>-1399</v>
      </c>
      <c r="H398" s="2">
        <v>5253131.6399999997</v>
      </c>
      <c r="I398" s="1" t="s">
        <v>40</v>
      </c>
      <c r="J398" s="1" t="s">
        <v>49</v>
      </c>
      <c r="K398" s="1" t="s">
        <v>283</v>
      </c>
      <c r="L398" s="1" t="s">
        <v>39</v>
      </c>
      <c r="M398" s="1" t="s">
        <v>327</v>
      </c>
      <c r="N398" s="1" t="s">
        <v>43</v>
      </c>
    </row>
    <row r="399" spans="1:14" x14ac:dyDescent="0.25">
      <c r="A399" s="1" t="s">
        <v>776</v>
      </c>
      <c r="B399" s="1" t="s">
        <v>775</v>
      </c>
      <c r="C399" s="1" t="s">
        <v>775</v>
      </c>
      <c r="D399" s="1" t="s">
        <v>48</v>
      </c>
      <c r="E399" s="1" t="s">
        <v>38</v>
      </c>
      <c r="F399" s="1" t="s">
        <v>39</v>
      </c>
      <c r="G399" s="2">
        <v>-8</v>
      </c>
      <c r="H399" s="2">
        <v>5254530.6399999997</v>
      </c>
      <c r="I399" s="1" t="s">
        <v>40</v>
      </c>
      <c r="J399" s="1" t="s">
        <v>49</v>
      </c>
      <c r="K399" s="1" t="s">
        <v>42</v>
      </c>
      <c r="L399" s="1" t="s">
        <v>39</v>
      </c>
      <c r="M399" s="1" t="s">
        <v>39</v>
      </c>
      <c r="N399" s="1" t="s">
        <v>43</v>
      </c>
    </row>
    <row r="400" spans="1:14" x14ac:dyDescent="0.25">
      <c r="A400" s="1" t="s">
        <v>776</v>
      </c>
      <c r="B400" s="1" t="s">
        <v>775</v>
      </c>
      <c r="C400" s="1" t="s">
        <v>775</v>
      </c>
      <c r="D400" s="1" t="s">
        <v>676</v>
      </c>
      <c r="E400" s="1" t="s">
        <v>38</v>
      </c>
      <c r="F400" s="1" t="s">
        <v>39</v>
      </c>
      <c r="G400" s="2">
        <v>-134</v>
      </c>
      <c r="H400" s="2">
        <v>5254538.6399999997</v>
      </c>
      <c r="I400" s="1" t="s">
        <v>40</v>
      </c>
      <c r="J400" s="1" t="s">
        <v>49</v>
      </c>
      <c r="K400" s="1" t="s">
        <v>283</v>
      </c>
      <c r="L400" s="1" t="s">
        <v>39</v>
      </c>
      <c r="M400" s="1" t="s">
        <v>677</v>
      </c>
      <c r="N400" s="1" t="s">
        <v>43</v>
      </c>
    </row>
    <row r="401" spans="1:14" x14ac:dyDescent="0.25">
      <c r="A401" s="1" t="s">
        <v>777</v>
      </c>
      <c r="B401" s="1" t="s">
        <v>778</v>
      </c>
      <c r="C401" s="1" t="s">
        <v>778</v>
      </c>
      <c r="D401" s="1" t="s">
        <v>48</v>
      </c>
      <c r="E401" s="1" t="s">
        <v>38</v>
      </c>
      <c r="F401" s="1" t="s">
        <v>39</v>
      </c>
      <c r="G401" s="2">
        <v>-8</v>
      </c>
      <c r="H401" s="2">
        <v>5254672.6399999997</v>
      </c>
      <c r="I401" s="1" t="s">
        <v>40</v>
      </c>
      <c r="J401" s="1" t="s">
        <v>49</v>
      </c>
      <c r="K401" s="1" t="s">
        <v>42</v>
      </c>
      <c r="L401" s="1" t="s">
        <v>39</v>
      </c>
      <c r="M401" s="1" t="s">
        <v>39</v>
      </c>
      <c r="N401" s="1" t="s">
        <v>43</v>
      </c>
    </row>
    <row r="402" spans="1:14" x14ac:dyDescent="0.25">
      <c r="A402" s="1" t="s">
        <v>777</v>
      </c>
      <c r="B402" s="1" t="s">
        <v>778</v>
      </c>
      <c r="C402" s="1" t="s">
        <v>778</v>
      </c>
      <c r="D402" s="1" t="s">
        <v>779</v>
      </c>
      <c r="E402" s="1" t="s">
        <v>38</v>
      </c>
      <c r="F402" s="1" t="s">
        <v>39</v>
      </c>
      <c r="G402" s="2">
        <v>-134</v>
      </c>
      <c r="H402" s="2">
        <v>5254680.6399999997</v>
      </c>
      <c r="I402" s="1" t="s">
        <v>40</v>
      </c>
      <c r="J402" s="1" t="s">
        <v>49</v>
      </c>
      <c r="K402" s="1" t="s">
        <v>283</v>
      </c>
      <c r="L402" s="1" t="s">
        <v>39</v>
      </c>
      <c r="M402" s="1" t="s">
        <v>780</v>
      </c>
      <c r="N402" s="1" t="s">
        <v>43</v>
      </c>
    </row>
    <row r="403" spans="1:14" x14ac:dyDescent="0.25">
      <c r="A403" s="1" t="s">
        <v>781</v>
      </c>
      <c r="B403" s="1" t="s">
        <v>778</v>
      </c>
      <c r="C403" s="1" t="s">
        <v>778</v>
      </c>
      <c r="D403" s="1" t="s">
        <v>48</v>
      </c>
      <c r="E403" s="1" t="s">
        <v>38</v>
      </c>
      <c r="F403" s="1" t="s">
        <v>39</v>
      </c>
      <c r="G403" s="2">
        <v>-39</v>
      </c>
      <c r="H403" s="2">
        <v>5254814.6399999997</v>
      </c>
      <c r="I403" s="1" t="s">
        <v>40</v>
      </c>
      <c r="J403" s="1" t="s">
        <v>49</v>
      </c>
      <c r="K403" s="1" t="s">
        <v>42</v>
      </c>
      <c r="L403" s="1" t="s">
        <v>39</v>
      </c>
      <c r="M403" s="1" t="s">
        <v>39</v>
      </c>
      <c r="N403" s="1" t="s">
        <v>43</v>
      </c>
    </row>
    <row r="404" spans="1:14" x14ac:dyDescent="0.25">
      <c r="A404" s="1" t="s">
        <v>781</v>
      </c>
      <c r="B404" s="1" t="s">
        <v>778</v>
      </c>
      <c r="C404" s="1" t="s">
        <v>778</v>
      </c>
      <c r="D404" s="1" t="s">
        <v>782</v>
      </c>
      <c r="E404" s="1" t="s">
        <v>38</v>
      </c>
      <c r="F404" s="1" t="s">
        <v>39</v>
      </c>
      <c r="G404" s="2">
        <v>-4120</v>
      </c>
      <c r="H404" s="2">
        <v>5254853.6399999997</v>
      </c>
      <c r="I404" s="1" t="s">
        <v>40</v>
      </c>
      <c r="J404" s="1" t="s">
        <v>49</v>
      </c>
      <c r="K404" s="1" t="s">
        <v>283</v>
      </c>
      <c r="L404" s="1" t="s">
        <v>39</v>
      </c>
      <c r="M404" s="1" t="s">
        <v>783</v>
      </c>
      <c r="N404" s="1" t="s">
        <v>43</v>
      </c>
    </row>
    <row r="405" spans="1:14" x14ac:dyDescent="0.25">
      <c r="A405" s="1" t="s">
        <v>784</v>
      </c>
      <c r="B405" s="1" t="s">
        <v>785</v>
      </c>
      <c r="C405" s="1" t="s">
        <v>785</v>
      </c>
      <c r="D405" s="1" t="s">
        <v>48</v>
      </c>
      <c r="E405" s="1" t="s">
        <v>38</v>
      </c>
      <c r="F405" s="1" t="s">
        <v>39</v>
      </c>
      <c r="G405" s="2">
        <v>-8</v>
      </c>
      <c r="H405" s="2">
        <v>5258973.6399999997</v>
      </c>
      <c r="I405" s="1" t="s">
        <v>40</v>
      </c>
      <c r="J405" s="1" t="s">
        <v>49</v>
      </c>
      <c r="K405" s="1" t="s">
        <v>42</v>
      </c>
      <c r="L405" s="1" t="s">
        <v>39</v>
      </c>
      <c r="M405" s="1" t="s">
        <v>39</v>
      </c>
      <c r="N405" s="1" t="s">
        <v>43</v>
      </c>
    </row>
    <row r="406" spans="1:14" x14ac:dyDescent="0.25">
      <c r="A406" s="1" t="s">
        <v>784</v>
      </c>
      <c r="B406" s="1" t="s">
        <v>785</v>
      </c>
      <c r="C406" s="1" t="s">
        <v>785</v>
      </c>
      <c r="D406" s="1" t="s">
        <v>488</v>
      </c>
      <c r="E406" s="1" t="s">
        <v>38</v>
      </c>
      <c r="F406" s="1" t="s">
        <v>39</v>
      </c>
      <c r="G406" s="2">
        <v>-226</v>
      </c>
      <c r="H406" s="2">
        <v>5258981.6399999997</v>
      </c>
      <c r="I406" s="1" t="s">
        <v>40</v>
      </c>
      <c r="J406" s="1" t="s">
        <v>49</v>
      </c>
      <c r="K406" s="1" t="s">
        <v>283</v>
      </c>
      <c r="L406" s="1" t="s">
        <v>39</v>
      </c>
      <c r="M406" s="1" t="s">
        <v>489</v>
      </c>
      <c r="N406" s="1" t="s">
        <v>43</v>
      </c>
    </row>
    <row r="407" spans="1:14" x14ac:dyDescent="0.25">
      <c r="A407" s="1" t="s">
        <v>786</v>
      </c>
      <c r="B407" s="1" t="s">
        <v>787</v>
      </c>
      <c r="C407" s="1" t="s">
        <v>788</v>
      </c>
      <c r="D407" s="1" t="s">
        <v>319</v>
      </c>
      <c r="E407" s="1" t="s">
        <v>38</v>
      </c>
      <c r="F407" s="1" t="s">
        <v>39</v>
      </c>
      <c r="G407" s="2">
        <v>-594</v>
      </c>
      <c r="H407" s="2">
        <v>5259207.6399999997</v>
      </c>
      <c r="I407" s="1" t="s">
        <v>40</v>
      </c>
      <c r="J407" s="1" t="s">
        <v>49</v>
      </c>
      <c r="K407" s="1" t="s">
        <v>279</v>
      </c>
      <c r="L407" s="1" t="s">
        <v>39</v>
      </c>
      <c r="M407" s="1" t="s">
        <v>320</v>
      </c>
      <c r="N407" s="1" t="s">
        <v>43</v>
      </c>
    </row>
    <row r="408" spans="1:14" x14ac:dyDescent="0.25">
      <c r="A408" s="1" t="s">
        <v>786</v>
      </c>
      <c r="B408" s="1" t="s">
        <v>787</v>
      </c>
      <c r="C408" s="1" t="s">
        <v>788</v>
      </c>
      <c r="D408" s="1" t="s">
        <v>48</v>
      </c>
      <c r="E408" s="1" t="s">
        <v>38</v>
      </c>
      <c r="F408" s="1" t="s">
        <v>39</v>
      </c>
      <c r="G408" s="2">
        <v>-13</v>
      </c>
      <c r="H408" s="2">
        <v>5259801.6399999997</v>
      </c>
      <c r="I408" s="1" t="s">
        <v>40</v>
      </c>
      <c r="J408" s="1" t="s">
        <v>49</v>
      </c>
      <c r="K408" s="1" t="s">
        <v>42</v>
      </c>
      <c r="L408" s="1" t="s">
        <v>39</v>
      </c>
      <c r="M408" s="1" t="s">
        <v>39</v>
      </c>
      <c r="N408" s="1" t="s">
        <v>43</v>
      </c>
    </row>
    <row r="409" spans="1:14" x14ac:dyDescent="0.25">
      <c r="A409" s="1" t="s">
        <v>789</v>
      </c>
      <c r="B409" s="1" t="s">
        <v>790</v>
      </c>
      <c r="C409" s="1" t="s">
        <v>791</v>
      </c>
      <c r="D409" s="1" t="s">
        <v>48</v>
      </c>
      <c r="E409" s="1" t="s">
        <v>38</v>
      </c>
      <c r="F409" s="1" t="s">
        <v>39</v>
      </c>
      <c r="G409" s="2">
        <v>-48</v>
      </c>
      <c r="H409" s="2">
        <v>5259814.6399999997</v>
      </c>
      <c r="I409" s="1" t="s">
        <v>40</v>
      </c>
      <c r="J409" s="1" t="s">
        <v>49</v>
      </c>
      <c r="K409" s="1" t="s">
        <v>42</v>
      </c>
      <c r="L409" s="1" t="s">
        <v>39</v>
      </c>
      <c r="M409" s="1" t="s">
        <v>39</v>
      </c>
      <c r="N409" s="1" t="s">
        <v>43</v>
      </c>
    </row>
    <row r="410" spans="1:14" x14ac:dyDescent="0.25">
      <c r="A410" s="1" t="s">
        <v>789</v>
      </c>
      <c r="B410" s="1" t="s">
        <v>790</v>
      </c>
      <c r="C410" s="1" t="s">
        <v>791</v>
      </c>
      <c r="D410" s="1" t="s">
        <v>792</v>
      </c>
      <c r="E410" s="1" t="s">
        <v>38</v>
      </c>
      <c r="F410" s="1" t="s">
        <v>39</v>
      </c>
      <c r="G410" s="2">
        <v>-5194</v>
      </c>
      <c r="H410" s="2">
        <v>5259862.6399999997</v>
      </c>
      <c r="I410" s="1" t="s">
        <v>40</v>
      </c>
      <c r="J410" s="1" t="s">
        <v>49</v>
      </c>
      <c r="K410" s="1" t="s">
        <v>279</v>
      </c>
      <c r="L410" s="1" t="s">
        <v>39</v>
      </c>
      <c r="M410" s="1" t="s">
        <v>793</v>
      </c>
      <c r="N410" s="1" t="s">
        <v>43</v>
      </c>
    </row>
    <row r="411" spans="1:14" x14ac:dyDescent="0.25">
      <c r="A411" s="1" t="s">
        <v>794</v>
      </c>
      <c r="B411" s="1" t="s">
        <v>795</v>
      </c>
      <c r="C411" s="1" t="s">
        <v>795</v>
      </c>
      <c r="D411" s="1" t="s">
        <v>48</v>
      </c>
      <c r="E411" s="1" t="s">
        <v>38</v>
      </c>
      <c r="F411" s="1" t="s">
        <v>39</v>
      </c>
      <c r="G411" s="2">
        <v>-115</v>
      </c>
      <c r="H411" s="2">
        <v>5265056.6399999997</v>
      </c>
      <c r="I411" s="1" t="s">
        <v>40</v>
      </c>
      <c r="J411" s="1" t="s">
        <v>49</v>
      </c>
      <c r="K411" s="1" t="s">
        <v>42</v>
      </c>
      <c r="L411" s="1" t="s">
        <v>39</v>
      </c>
      <c r="M411" s="1" t="s">
        <v>39</v>
      </c>
      <c r="N411" s="1" t="s">
        <v>43</v>
      </c>
    </row>
    <row r="412" spans="1:14" x14ac:dyDescent="0.25">
      <c r="A412" s="1" t="s">
        <v>794</v>
      </c>
      <c r="B412" s="1" t="s">
        <v>795</v>
      </c>
      <c r="C412" s="1" t="s">
        <v>795</v>
      </c>
      <c r="D412" s="1" t="s">
        <v>796</v>
      </c>
      <c r="E412" s="1" t="s">
        <v>38</v>
      </c>
      <c r="F412" s="1" t="s">
        <v>39</v>
      </c>
      <c r="G412" s="2">
        <v>-51194</v>
      </c>
      <c r="H412" s="2">
        <v>5265171.6399999997</v>
      </c>
      <c r="I412" s="1" t="s">
        <v>40</v>
      </c>
      <c r="J412" s="1" t="s">
        <v>49</v>
      </c>
      <c r="K412" s="1" t="s">
        <v>283</v>
      </c>
      <c r="L412" s="1" t="s">
        <v>39</v>
      </c>
      <c r="M412" s="1" t="s">
        <v>797</v>
      </c>
      <c r="N412" s="1" t="s">
        <v>43</v>
      </c>
    </row>
    <row r="413" spans="1:14" x14ac:dyDescent="0.25">
      <c r="A413" s="1" t="s">
        <v>798</v>
      </c>
      <c r="B413" s="1" t="s">
        <v>799</v>
      </c>
      <c r="C413" s="1" t="s">
        <v>799</v>
      </c>
      <c r="D413" s="1" t="s">
        <v>800</v>
      </c>
      <c r="E413" s="1" t="s">
        <v>38</v>
      </c>
      <c r="F413" s="1" t="s">
        <v>39</v>
      </c>
      <c r="G413" s="2">
        <v>-47</v>
      </c>
      <c r="H413" s="2">
        <v>5316365.6399999997</v>
      </c>
      <c r="I413" s="1" t="s">
        <v>40</v>
      </c>
      <c r="J413" s="1" t="s">
        <v>49</v>
      </c>
      <c r="K413" s="1" t="s">
        <v>283</v>
      </c>
      <c r="L413" s="1" t="s">
        <v>39</v>
      </c>
      <c r="M413" s="1" t="s">
        <v>801</v>
      </c>
      <c r="N413" s="1" t="s">
        <v>43</v>
      </c>
    </row>
    <row r="414" spans="1:14" x14ac:dyDescent="0.25">
      <c r="A414" s="1" t="s">
        <v>802</v>
      </c>
      <c r="B414" s="1" t="s">
        <v>803</v>
      </c>
      <c r="C414" s="1" t="s">
        <v>803</v>
      </c>
      <c r="D414" s="1" t="s">
        <v>48</v>
      </c>
      <c r="E414" s="1" t="s">
        <v>38</v>
      </c>
      <c r="F414" s="1" t="s">
        <v>39</v>
      </c>
      <c r="G414" s="2">
        <v>-39</v>
      </c>
      <c r="H414" s="2">
        <v>5316412.6399999997</v>
      </c>
      <c r="I414" s="1" t="s">
        <v>40</v>
      </c>
      <c r="J414" s="1" t="s">
        <v>49</v>
      </c>
      <c r="K414" s="1" t="s">
        <v>42</v>
      </c>
      <c r="L414" s="1" t="s">
        <v>39</v>
      </c>
      <c r="M414" s="1" t="s">
        <v>39</v>
      </c>
      <c r="N414" s="1" t="s">
        <v>43</v>
      </c>
    </row>
    <row r="415" spans="1:14" x14ac:dyDescent="0.25">
      <c r="A415" s="1" t="s">
        <v>802</v>
      </c>
      <c r="B415" s="1" t="s">
        <v>803</v>
      </c>
      <c r="C415" s="1" t="s">
        <v>803</v>
      </c>
      <c r="D415" s="1" t="s">
        <v>804</v>
      </c>
      <c r="E415" s="1" t="s">
        <v>38</v>
      </c>
      <c r="F415" s="1" t="s">
        <v>39</v>
      </c>
      <c r="G415" s="2">
        <v>-3567</v>
      </c>
      <c r="H415" s="2">
        <v>5316451.6399999997</v>
      </c>
      <c r="I415" s="1" t="s">
        <v>40</v>
      </c>
      <c r="J415" s="1" t="s">
        <v>49</v>
      </c>
      <c r="K415" s="1" t="s">
        <v>283</v>
      </c>
      <c r="L415" s="1" t="s">
        <v>39</v>
      </c>
      <c r="M415" s="1" t="s">
        <v>805</v>
      </c>
      <c r="N415" s="1" t="s">
        <v>43</v>
      </c>
    </row>
    <row r="416" spans="1:14" x14ac:dyDescent="0.25">
      <c r="A416" s="1" t="s">
        <v>806</v>
      </c>
      <c r="B416" s="1" t="s">
        <v>807</v>
      </c>
      <c r="C416" s="1" t="s">
        <v>807</v>
      </c>
      <c r="D416" s="1" t="s">
        <v>48</v>
      </c>
      <c r="E416" s="1" t="s">
        <v>38</v>
      </c>
      <c r="F416" s="1" t="s">
        <v>39</v>
      </c>
      <c r="G416" s="2">
        <v>-13</v>
      </c>
      <c r="H416" s="2">
        <v>5320018.6399999997</v>
      </c>
      <c r="I416" s="1" t="s">
        <v>40</v>
      </c>
      <c r="J416" s="1" t="s">
        <v>49</v>
      </c>
      <c r="K416" s="1" t="s">
        <v>42</v>
      </c>
      <c r="L416" s="1" t="s">
        <v>39</v>
      </c>
      <c r="M416" s="1" t="s">
        <v>39</v>
      </c>
      <c r="N416" s="1" t="s">
        <v>43</v>
      </c>
    </row>
    <row r="417" spans="1:14" x14ac:dyDescent="0.25">
      <c r="A417" s="1" t="s">
        <v>806</v>
      </c>
      <c r="B417" s="1" t="s">
        <v>807</v>
      </c>
      <c r="C417" s="1" t="s">
        <v>807</v>
      </c>
      <c r="D417" s="1" t="s">
        <v>808</v>
      </c>
      <c r="E417" s="1" t="s">
        <v>38</v>
      </c>
      <c r="F417" s="1" t="s">
        <v>39</v>
      </c>
      <c r="G417" s="2">
        <v>-712</v>
      </c>
      <c r="H417" s="2">
        <v>5320031.6399999997</v>
      </c>
      <c r="I417" s="1" t="s">
        <v>40</v>
      </c>
      <c r="J417" s="1" t="s">
        <v>49</v>
      </c>
      <c r="K417" s="1" t="s">
        <v>289</v>
      </c>
      <c r="L417" s="1" t="s">
        <v>39</v>
      </c>
      <c r="M417" s="1" t="s">
        <v>809</v>
      </c>
      <c r="N417" s="1" t="s">
        <v>43</v>
      </c>
    </row>
    <row r="418" spans="1:14" x14ac:dyDescent="0.25">
      <c r="A418" s="1" t="s">
        <v>810</v>
      </c>
      <c r="B418" s="1" t="s">
        <v>807</v>
      </c>
      <c r="C418" s="1" t="s">
        <v>811</v>
      </c>
      <c r="D418" s="1" t="s">
        <v>812</v>
      </c>
      <c r="E418" s="1" t="s">
        <v>38</v>
      </c>
      <c r="F418" s="1" t="s">
        <v>39</v>
      </c>
      <c r="G418" s="2">
        <v>-2608</v>
      </c>
      <c r="H418" s="2">
        <v>5320743.6399999997</v>
      </c>
      <c r="I418" s="1" t="s">
        <v>40</v>
      </c>
      <c r="J418" s="1" t="s">
        <v>49</v>
      </c>
      <c r="K418" s="1" t="s">
        <v>279</v>
      </c>
      <c r="L418" s="1" t="s">
        <v>39</v>
      </c>
      <c r="M418" s="1" t="s">
        <v>813</v>
      </c>
      <c r="N418" s="1" t="s">
        <v>43</v>
      </c>
    </row>
    <row r="419" spans="1:14" x14ac:dyDescent="0.25">
      <c r="A419" s="1" t="s">
        <v>810</v>
      </c>
      <c r="B419" s="1" t="s">
        <v>807</v>
      </c>
      <c r="C419" s="1" t="s">
        <v>811</v>
      </c>
      <c r="D419" s="1" t="s">
        <v>48</v>
      </c>
      <c r="E419" s="1" t="s">
        <v>38</v>
      </c>
      <c r="F419" s="1" t="s">
        <v>39</v>
      </c>
      <c r="G419" s="2">
        <v>-30</v>
      </c>
      <c r="H419" s="2">
        <v>5323351.6399999997</v>
      </c>
      <c r="I419" s="1" t="s">
        <v>40</v>
      </c>
      <c r="J419" s="1" t="s">
        <v>49</v>
      </c>
      <c r="K419" s="1" t="s">
        <v>42</v>
      </c>
      <c r="L419" s="1" t="s">
        <v>39</v>
      </c>
      <c r="M419" s="1" t="s">
        <v>39</v>
      </c>
      <c r="N419" s="1" t="s">
        <v>43</v>
      </c>
    </row>
    <row r="420" spans="1:14" x14ac:dyDescent="0.25">
      <c r="A420" s="1" t="s">
        <v>814</v>
      </c>
      <c r="B420" s="1" t="s">
        <v>807</v>
      </c>
      <c r="C420" s="1" t="s">
        <v>811</v>
      </c>
      <c r="D420" s="1" t="s">
        <v>815</v>
      </c>
      <c r="E420" s="1" t="s">
        <v>38</v>
      </c>
      <c r="F420" s="1" t="s">
        <v>39</v>
      </c>
      <c r="G420" s="2">
        <v>-5976</v>
      </c>
      <c r="H420" s="2">
        <v>5323381.6399999997</v>
      </c>
      <c r="I420" s="1" t="s">
        <v>40</v>
      </c>
      <c r="J420" s="1" t="s">
        <v>49</v>
      </c>
      <c r="K420" s="1" t="s">
        <v>279</v>
      </c>
      <c r="L420" s="1" t="s">
        <v>39</v>
      </c>
      <c r="M420" s="1" t="s">
        <v>816</v>
      </c>
      <c r="N420" s="1" t="s">
        <v>43</v>
      </c>
    </row>
    <row r="421" spans="1:14" x14ac:dyDescent="0.25">
      <c r="A421" s="1" t="s">
        <v>814</v>
      </c>
      <c r="B421" s="1" t="s">
        <v>807</v>
      </c>
      <c r="C421" s="1" t="s">
        <v>811</v>
      </c>
      <c r="D421" s="1" t="s">
        <v>48</v>
      </c>
      <c r="E421" s="1" t="s">
        <v>38</v>
      </c>
      <c r="F421" s="1" t="s">
        <v>39</v>
      </c>
      <c r="G421" s="2">
        <v>-48</v>
      </c>
      <c r="H421" s="2">
        <v>5329357.6399999997</v>
      </c>
      <c r="I421" s="1" t="s">
        <v>40</v>
      </c>
      <c r="J421" s="1" t="s">
        <v>49</v>
      </c>
      <c r="K421" s="1" t="s">
        <v>42</v>
      </c>
      <c r="L421" s="1" t="s">
        <v>39</v>
      </c>
      <c r="M421" s="1" t="s">
        <v>39</v>
      </c>
      <c r="N421" s="1" t="s">
        <v>43</v>
      </c>
    </row>
    <row r="422" spans="1:14" x14ac:dyDescent="0.25">
      <c r="A422" s="1" t="s">
        <v>817</v>
      </c>
      <c r="B422" s="1" t="s">
        <v>811</v>
      </c>
      <c r="C422" s="1" t="s">
        <v>811</v>
      </c>
      <c r="D422" s="1" t="s">
        <v>48</v>
      </c>
      <c r="E422" s="1" t="s">
        <v>38</v>
      </c>
      <c r="F422" s="1" t="s">
        <v>39</v>
      </c>
      <c r="G422" s="2">
        <v>-30</v>
      </c>
      <c r="H422" s="2">
        <v>5329405.6399999997</v>
      </c>
      <c r="I422" s="1" t="s">
        <v>40</v>
      </c>
      <c r="J422" s="1" t="s">
        <v>49</v>
      </c>
      <c r="K422" s="1" t="s">
        <v>42</v>
      </c>
      <c r="L422" s="1" t="s">
        <v>39</v>
      </c>
      <c r="M422" s="1" t="s">
        <v>39</v>
      </c>
      <c r="N422" s="1" t="s">
        <v>43</v>
      </c>
    </row>
    <row r="423" spans="1:14" x14ac:dyDescent="0.25">
      <c r="A423" s="1" t="s">
        <v>817</v>
      </c>
      <c r="B423" s="1" t="s">
        <v>811</v>
      </c>
      <c r="C423" s="1" t="s">
        <v>811</v>
      </c>
      <c r="D423" s="1" t="s">
        <v>818</v>
      </c>
      <c r="E423" s="1" t="s">
        <v>38</v>
      </c>
      <c r="F423" s="1" t="s">
        <v>39</v>
      </c>
      <c r="G423" s="2">
        <v>-3331</v>
      </c>
      <c r="H423" s="2">
        <v>5329435.6399999997</v>
      </c>
      <c r="I423" s="1" t="s">
        <v>40</v>
      </c>
      <c r="J423" s="1" t="s">
        <v>49</v>
      </c>
      <c r="K423" s="1" t="s">
        <v>283</v>
      </c>
      <c r="L423" s="1" t="s">
        <v>39</v>
      </c>
      <c r="M423" s="1" t="s">
        <v>819</v>
      </c>
      <c r="N423" s="1" t="s">
        <v>43</v>
      </c>
    </row>
    <row r="424" spans="1:14" x14ac:dyDescent="0.25">
      <c r="A424" s="1" t="s">
        <v>820</v>
      </c>
      <c r="B424" s="1" t="s">
        <v>821</v>
      </c>
      <c r="C424" s="1" t="s">
        <v>822</v>
      </c>
      <c r="D424" s="1" t="s">
        <v>823</v>
      </c>
      <c r="E424" s="1" t="s">
        <v>38</v>
      </c>
      <c r="F424" s="1" t="s">
        <v>39</v>
      </c>
      <c r="G424" s="2">
        <v>-2434</v>
      </c>
      <c r="H424" s="2">
        <v>5332766.6399999997</v>
      </c>
      <c r="I424" s="1" t="s">
        <v>40</v>
      </c>
      <c r="J424" s="1" t="s">
        <v>49</v>
      </c>
      <c r="K424" s="1" t="s">
        <v>279</v>
      </c>
      <c r="L424" s="1" t="s">
        <v>39</v>
      </c>
      <c r="M424" s="1" t="s">
        <v>824</v>
      </c>
      <c r="N424" s="1" t="s">
        <v>43</v>
      </c>
    </row>
    <row r="425" spans="1:14" x14ac:dyDescent="0.25">
      <c r="A425" s="1" t="s">
        <v>820</v>
      </c>
      <c r="B425" s="1" t="s">
        <v>821</v>
      </c>
      <c r="C425" s="1" t="s">
        <v>822</v>
      </c>
      <c r="D425" s="1" t="s">
        <v>48</v>
      </c>
      <c r="E425" s="1" t="s">
        <v>38</v>
      </c>
      <c r="F425" s="1" t="s">
        <v>39</v>
      </c>
      <c r="G425" s="2">
        <v>-25</v>
      </c>
      <c r="H425" s="2">
        <v>5335200.6399999997</v>
      </c>
      <c r="I425" s="1" t="s">
        <v>40</v>
      </c>
      <c r="J425" s="1" t="s">
        <v>49</v>
      </c>
      <c r="K425" s="1" t="s">
        <v>42</v>
      </c>
      <c r="L425" s="1" t="s">
        <v>39</v>
      </c>
      <c r="M425" s="1" t="s">
        <v>39</v>
      </c>
      <c r="N425" s="1" t="s">
        <v>43</v>
      </c>
    </row>
    <row r="426" spans="1:14" x14ac:dyDescent="0.25">
      <c r="A426" s="1" t="s">
        <v>825</v>
      </c>
      <c r="B426" s="1" t="s">
        <v>826</v>
      </c>
      <c r="C426" s="1" t="s">
        <v>826</v>
      </c>
      <c r="D426" s="1" t="s">
        <v>48</v>
      </c>
      <c r="E426" s="1" t="s">
        <v>38</v>
      </c>
      <c r="F426" s="1" t="s">
        <v>39</v>
      </c>
      <c r="G426" s="2">
        <v>-39</v>
      </c>
      <c r="H426" s="2">
        <v>5335225.6399999997</v>
      </c>
      <c r="I426" s="1" t="s">
        <v>40</v>
      </c>
      <c r="J426" s="1" t="s">
        <v>49</v>
      </c>
      <c r="K426" s="1" t="s">
        <v>42</v>
      </c>
      <c r="L426" s="1" t="s">
        <v>39</v>
      </c>
      <c r="M426" s="1" t="s">
        <v>39</v>
      </c>
      <c r="N426" s="1" t="s">
        <v>43</v>
      </c>
    </row>
    <row r="427" spans="1:14" x14ac:dyDescent="0.25">
      <c r="A427" s="1" t="s">
        <v>825</v>
      </c>
      <c r="B427" s="1" t="s">
        <v>826</v>
      </c>
      <c r="C427" s="1" t="s">
        <v>826</v>
      </c>
      <c r="D427" s="1" t="s">
        <v>827</v>
      </c>
      <c r="E427" s="1" t="s">
        <v>38</v>
      </c>
      <c r="F427" s="1" t="s">
        <v>39</v>
      </c>
      <c r="G427" s="2">
        <v>-3653</v>
      </c>
      <c r="H427" s="2">
        <v>5335264.6399999997</v>
      </c>
      <c r="I427" s="1" t="s">
        <v>40</v>
      </c>
      <c r="J427" s="1" t="s">
        <v>49</v>
      </c>
      <c r="K427" s="1" t="s">
        <v>283</v>
      </c>
      <c r="L427" s="1" t="s">
        <v>39</v>
      </c>
      <c r="M427" s="1" t="s">
        <v>828</v>
      </c>
      <c r="N427" s="1" t="s">
        <v>43</v>
      </c>
    </row>
    <row r="428" spans="1:14" x14ac:dyDescent="0.25">
      <c r="A428" s="1" t="s">
        <v>829</v>
      </c>
      <c r="B428" s="1" t="s">
        <v>822</v>
      </c>
      <c r="C428" s="1" t="s">
        <v>822</v>
      </c>
      <c r="D428" s="1" t="s">
        <v>48</v>
      </c>
      <c r="E428" s="1" t="s">
        <v>38</v>
      </c>
      <c r="F428" s="1" t="s">
        <v>39</v>
      </c>
      <c r="G428" s="2">
        <v>-30</v>
      </c>
      <c r="H428" s="2">
        <v>5338917.6399999997</v>
      </c>
      <c r="I428" s="1" t="s">
        <v>40</v>
      </c>
      <c r="J428" s="1" t="s">
        <v>49</v>
      </c>
      <c r="K428" s="1" t="s">
        <v>42</v>
      </c>
      <c r="L428" s="1" t="s">
        <v>39</v>
      </c>
      <c r="M428" s="1" t="s">
        <v>39</v>
      </c>
      <c r="N428" s="1" t="s">
        <v>43</v>
      </c>
    </row>
    <row r="429" spans="1:14" x14ac:dyDescent="0.25">
      <c r="A429" s="1" t="s">
        <v>829</v>
      </c>
      <c r="B429" s="1" t="s">
        <v>822</v>
      </c>
      <c r="C429" s="1" t="s">
        <v>822</v>
      </c>
      <c r="D429" s="1" t="s">
        <v>830</v>
      </c>
      <c r="E429" s="1" t="s">
        <v>38</v>
      </c>
      <c r="F429" s="1" t="s">
        <v>39</v>
      </c>
      <c r="G429" s="2">
        <v>-2527</v>
      </c>
      <c r="H429" s="2">
        <v>5338947.6399999997</v>
      </c>
      <c r="I429" s="1" t="s">
        <v>40</v>
      </c>
      <c r="J429" s="1" t="s">
        <v>49</v>
      </c>
      <c r="K429" s="1" t="s">
        <v>283</v>
      </c>
      <c r="L429" s="1" t="s">
        <v>39</v>
      </c>
      <c r="M429" s="1" t="s">
        <v>831</v>
      </c>
      <c r="N429" s="1" t="s">
        <v>43</v>
      </c>
    </row>
    <row r="430" spans="1:14" x14ac:dyDescent="0.25">
      <c r="A430" s="1" t="s">
        <v>832</v>
      </c>
      <c r="B430" s="1" t="s">
        <v>822</v>
      </c>
      <c r="C430" s="1" t="s">
        <v>833</v>
      </c>
      <c r="D430" s="1" t="s">
        <v>48</v>
      </c>
      <c r="E430" s="1" t="s">
        <v>38</v>
      </c>
      <c r="F430" s="1" t="s">
        <v>39</v>
      </c>
      <c r="G430" s="2">
        <v>-39</v>
      </c>
      <c r="H430" s="2">
        <v>5341474.6399999997</v>
      </c>
      <c r="I430" s="1" t="s">
        <v>40</v>
      </c>
      <c r="J430" s="1" t="s">
        <v>49</v>
      </c>
      <c r="K430" s="1" t="s">
        <v>42</v>
      </c>
      <c r="L430" s="1" t="s">
        <v>39</v>
      </c>
      <c r="M430" s="1" t="s">
        <v>39</v>
      </c>
      <c r="N430" s="1" t="s">
        <v>43</v>
      </c>
    </row>
    <row r="431" spans="1:14" x14ac:dyDescent="0.25">
      <c r="A431" s="1" t="s">
        <v>832</v>
      </c>
      <c r="B431" s="1" t="s">
        <v>822</v>
      </c>
      <c r="C431" s="1" t="s">
        <v>833</v>
      </c>
      <c r="D431" s="1" t="s">
        <v>834</v>
      </c>
      <c r="E431" s="1" t="s">
        <v>38</v>
      </c>
      <c r="F431" s="1" t="s">
        <v>39</v>
      </c>
      <c r="G431" s="2">
        <v>-4389</v>
      </c>
      <c r="H431" s="2">
        <v>5341513.6399999997</v>
      </c>
      <c r="I431" s="1" t="s">
        <v>40</v>
      </c>
      <c r="J431" s="1" t="s">
        <v>49</v>
      </c>
      <c r="K431" s="1" t="s">
        <v>279</v>
      </c>
      <c r="L431" s="1" t="s">
        <v>39</v>
      </c>
      <c r="M431" s="1" t="s">
        <v>835</v>
      </c>
      <c r="N431" s="1" t="s">
        <v>43</v>
      </c>
    </row>
    <row r="432" spans="1:14" x14ac:dyDescent="0.25">
      <c r="A432" s="1" t="s">
        <v>836</v>
      </c>
      <c r="B432" s="1" t="s">
        <v>837</v>
      </c>
      <c r="C432" s="1" t="s">
        <v>833</v>
      </c>
      <c r="D432" s="1" t="s">
        <v>838</v>
      </c>
      <c r="E432" s="1" t="s">
        <v>38</v>
      </c>
      <c r="F432" s="1" t="s">
        <v>39</v>
      </c>
      <c r="G432" s="2">
        <v>-6870</v>
      </c>
      <c r="H432" s="2">
        <v>5345902.6399999997</v>
      </c>
      <c r="I432" s="1" t="s">
        <v>40</v>
      </c>
      <c r="J432" s="1" t="s">
        <v>49</v>
      </c>
      <c r="K432" s="1" t="s">
        <v>289</v>
      </c>
      <c r="L432" s="1" t="s">
        <v>39</v>
      </c>
      <c r="M432" s="1" t="s">
        <v>839</v>
      </c>
      <c r="N432" s="1" t="s">
        <v>43</v>
      </c>
    </row>
    <row r="433" spans="1:14" x14ac:dyDescent="0.25">
      <c r="A433" s="1" t="s">
        <v>836</v>
      </c>
      <c r="B433" s="1" t="s">
        <v>837</v>
      </c>
      <c r="C433" s="1" t="s">
        <v>833</v>
      </c>
      <c r="D433" s="1" t="s">
        <v>48</v>
      </c>
      <c r="E433" s="1" t="s">
        <v>38</v>
      </c>
      <c r="F433" s="1" t="s">
        <v>39</v>
      </c>
      <c r="G433" s="2">
        <v>-48</v>
      </c>
      <c r="H433" s="2">
        <v>5352772.6399999997</v>
      </c>
      <c r="I433" s="1" t="s">
        <v>40</v>
      </c>
      <c r="J433" s="1" t="s">
        <v>49</v>
      </c>
      <c r="K433" s="1" t="s">
        <v>42</v>
      </c>
      <c r="L433" s="1" t="s">
        <v>39</v>
      </c>
      <c r="M433" s="1" t="s">
        <v>39</v>
      </c>
      <c r="N433" s="1" t="s">
        <v>43</v>
      </c>
    </row>
    <row r="434" spans="1:14" x14ac:dyDescent="0.25">
      <c r="A434" s="1" t="s">
        <v>840</v>
      </c>
      <c r="B434" s="1" t="s">
        <v>833</v>
      </c>
      <c r="C434" s="1" t="s">
        <v>833</v>
      </c>
      <c r="D434" s="1" t="s">
        <v>48</v>
      </c>
      <c r="E434" s="1" t="s">
        <v>38</v>
      </c>
      <c r="F434" s="1" t="s">
        <v>39</v>
      </c>
      <c r="G434" s="2">
        <v>-48</v>
      </c>
      <c r="H434" s="2">
        <v>5352820.6399999997</v>
      </c>
      <c r="I434" s="1" t="s">
        <v>40</v>
      </c>
      <c r="J434" s="1" t="s">
        <v>49</v>
      </c>
      <c r="K434" s="1" t="s">
        <v>42</v>
      </c>
      <c r="L434" s="1" t="s">
        <v>39</v>
      </c>
      <c r="M434" s="1" t="s">
        <v>39</v>
      </c>
      <c r="N434" s="1" t="s">
        <v>43</v>
      </c>
    </row>
    <row r="435" spans="1:14" x14ac:dyDescent="0.25">
      <c r="A435" s="1" t="s">
        <v>840</v>
      </c>
      <c r="B435" s="1" t="s">
        <v>833</v>
      </c>
      <c r="C435" s="1" t="s">
        <v>833</v>
      </c>
      <c r="D435" s="1" t="s">
        <v>841</v>
      </c>
      <c r="E435" s="1" t="s">
        <v>38</v>
      </c>
      <c r="F435" s="1" t="s">
        <v>39</v>
      </c>
      <c r="G435" s="2">
        <v>-6275</v>
      </c>
      <c r="H435" s="2">
        <v>5352868.6399999997</v>
      </c>
      <c r="I435" s="1" t="s">
        <v>40</v>
      </c>
      <c r="J435" s="1" t="s">
        <v>49</v>
      </c>
      <c r="K435" s="1" t="s">
        <v>283</v>
      </c>
      <c r="L435" s="1" t="s">
        <v>39</v>
      </c>
      <c r="M435" s="1" t="s">
        <v>842</v>
      </c>
      <c r="N435" s="1" t="s">
        <v>43</v>
      </c>
    </row>
    <row r="436" spans="1:14" x14ac:dyDescent="0.25">
      <c r="A436" s="1" t="s">
        <v>843</v>
      </c>
      <c r="B436" s="1" t="s">
        <v>833</v>
      </c>
      <c r="C436" s="1" t="s">
        <v>833</v>
      </c>
      <c r="D436" s="1" t="s">
        <v>48</v>
      </c>
      <c r="E436" s="1" t="s">
        <v>38</v>
      </c>
      <c r="F436" s="1" t="s">
        <v>39</v>
      </c>
      <c r="G436" s="2">
        <v>-63</v>
      </c>
      <c r="H436" s="2">
        <v>5359143.6399999997</v>
      </c>
      <c r="I436" s="1" t="s">
        <v>40</v>
      </c>
      <c r="J436" s="1" t="s">
        <v>49</v>
      </c>
      <c r="K436" s="1" t="s">
        <v>42</v>
      </c>
      <c r="L436" s="1" t="s">
        <v>39</v>
      </c>
      <c r="M436" s="1" t="s">
        <v>39</v>
      </c>
      <c r="N436" s="1" t="s">
        <v>43</v>
      </c>
    </row>
    <row r="437" spans="1:14" x14ac:dyDescent="0.25">
      <c r="A437" s="1" t="s">
        <v>843</v>
      </c>
      <c r="B437" s="1" t="s">
        <v>833</v>
      </c>
      <c r="C437" s="1" t="s">
        <v>833</v>
      </c>
      <c r="D437" s="1" t="s">
        <v>844</v>
      </c>
      <c r="E437" s="1" t="s">
        <v>38</v>
      </c>
      <c r="F437" s="1" t="s">
        <v>39</v>
      </c>
      <c r="G437" s="2">
        <v>-13682</v>
      </c>
      <c r="H437" s="2">
        <v>5359206.6399999997</v>
      </c>
      <c r="I437" s="1" t="s">
        <v>40</v>
      </c>
      <c r="J437" s="1" t="s">
        <v>49</v>
      </c>
      <c r="K437" s="1" t="s">
        <v>283</v>
      </c>
      <c r="L437" s="1" t="s">
        <v>39</v>
      </c>
      <c r="M437" s="1" t="s">
        <v>845</v>
      </c>
      <c r="N437" s="1" t="s">
        <v>43</v>
      </c>
    </row>
    <row r="438" spans="1:14" x14ac:dyDescent="0.25">
      <c r="A438" s="1" t="s">
        <v>846</v>
      </c>
      <c r="B438" s="1" t="s">
        <v>847</v>
      </c>
      <c r="C438" s="1" t="s">
        <v>847</v>
      </c>
      <c r="D438" s="1" t="s">
        <v>48</v>
      </c>
      <c r="E438" s="1" t="s">
        <v>38</v>
      </c>
      <c r="F438" s="1" t="s">
        <v>39</v>
      </c>
      <c r="G438" s="2">
        <v>-63</v>
      </c>
      <c r="H438" s="2">
        <v>5372888.6399999997</v>
      </c>
      <c r="I438" s="1" t="s">
        <v>40</v>
      </c>
      <c r="J438" s="1" t="s">
        <v>49</v>
      </c>
      <c r="K438" s="1" t="s">
        <v>42</v>
      </c>
      <c r="L438" s="1" t="s">
        <v>39</v>
      </c>
      <c r="M438" s="1" t="s">
        <v>39</v>
      </c>
      <c r="N438" s="1" t="s">
        <v>43</v>
      </c>
    </row>
    <row r="439" spans="1:14" x14ac:dyDescent="0.25">
      <c r="A439" s="1" t="s">
        <v>846</v>
      </c>
      <c r="B439" s="1" t="s">
        <v>847</v>
      </c>
      <c r="C439" s="1" t="s">
        <v>847</v>
      </c>
      <c r="D439" s="1" t="s">
        <v>848</v>
      </c>
      <c r="E439" s="1" t="s">
        <v>38</v>
      </c>
      <c r="F439" s="1" t="s">
        <v>39</v>
      </c>
      <c r="G439" s="2">
        <v>-10346</v>
      </c>
      <c r="H439" s="2">
        <v>5372951.6399999997</v>
      </c>
      <c r="I439" s="1" t="s">
        <v>40</v>
      </c>
      <c r="J439" s="1" t="s">
        <v>49</v>
      </c>
      <c r="K439" s="1" t="s">
        <v>283</v>
      </c>
      <c r="L439" s="1" t="s">
        <v>39</v>
      </c>
      <c r="M439" s="1" t="s">
        <v>849</v>
      </c>
      <c r="N439" s="1" t="s">
        <v>43</v>
      </c>
    </row>
    <row r="440" spans="1:14" x14ac:dyDescent="0.25">
      <c r="A440" s="1" t="s">
        <v>850</v>
      </c>
      <c r="B440" s="1" t="s">
        <v>851</v>
      </c>
      <c r="C440" s="1" t="s">
        <v>851</v>
      </c>
      <c r="D440" s="1" t="s">
        <v>48</v>
      </c>
      <c r="E440" s="1" t="s">
        <v>38</v>
      </c>
      <c r="F440" s="1" t="s">
        <v>39</v>
      </c>
      <c r="G440" s="2">
        <v>-48</v>
      </c>
      <c r="H440" s="2">
        <v>5383297.6399999997</v>
      </c>
      <c r="I440" s="1" t="s">
        <v>40</v>
      </c>
      <c r="J440" s="1" t="s">
        <v>49</v>
      </c>
      <c r="K440" s="1" t="s">
        <v>42</v>
      </c>
      <c r="L440" s="1" t="s">
        <v>39</v>
      </c>
      <c r="M440" s="1" t="s">
        <v>39</v>
      </c>
      <c r="N440" s="1" t="s">
        <v>43</v>
      </c>
    </row>
    <row r="441" spans="1:14" x14ac:dyDescent="0.25">
      <c r="A441" s="1" t="s">
        <v>850</v>
      </c>
      <c r="B441" s="1" t="s">
        <v>851</v>
      </c>
      <c r="C441" s="1" t="s">
        <v>851</v>
      </c>
      <c r="D441" s="1" t="s">
        <v>852</v>
      </c>
      <c r="E441" s="1" t="s">
        <v>38</v>
      </c>
      <c r="F441" s="1" t="s">
        <v>39</v>
      </c>
      <c r="G441" s="2">
        <v>-5260</v>
      </c>
      <c r="H441" s="2">
        <v>5383345.6399999997</v>
      </c>
      <c r="I441" s="1" t="s">
        <v>40</v>
      </c>
      <c r="J441" s="1" t="s">
        <v>49</v>
      </c>
      <c r="K441" s="1" t="s">
        <v>283</v>
      </c>
      <c r="L441" s="1" t="s">
        <v>39</v>
      </c>
      <c r="M441" s="1" t="s">
        <v>853</v>
      </c>
      <c r="N441" s="1" t="s">
        <v>43</v>
      </c>
    </row>
    <row r="442" spans="1:14" x14ac:dyDescent="0.25">
      <c r="A442" s="1" t="s">
        <v>854</v>
      </c>
      <c r="B442" s="1" t="s">
        <v>855</v>
      </c>
      <c r="C442" s="1" t="s">
        <v>855</v>
      </c>
      <c r="D442" s="1" t="s">
        <v>48</v>
      </c>
      <c r="E442" s="1" t="s">
        <v>38</v>
      </c>
      <c r="F442" s="1" t="s">
        <v>39</v>
      </c>
      <c r="G442" s="2">
        <v>-39</v>
      </c>
      <c r="H442" s="2">
        <v>5388605.6399999997</v>
      </c>
      <c r="I442" s="1" t="s">
        <v>40</v>
      </c>
      <c r="J442" s="1" t="s">
        <v>49</v>
      </c>
      <c r="K442" s="1" t="s">
        <v>42</v>
      </c>
      <c r="L442" s="1" t="s">
        <v>39</v>
      </c>
      <c r="M442" s="1" t="s">
        <v>39</v>
      </c>
      <c r="N442" s="1" t="s">
        <v>43</v>
      </c>
    </row>
    <row r="443" spans="1:14" x14ac:dyDescent="0.25">
      <c r="A443" s="1" t="s">
        <v>854</v>
      </c>
      <c r="B443" s="1" t="s">
        <v>855</v>
      </c>
      <c r="C443" s="1" t="s">
        <v>855</v>
      </c>
      <c r="D443" s="1" t="s">
        <v>856</v>
      </c>
      <c r="E443" s="1" t="s">
        <v>38</v>
      </c>
      <c r="F443" s="1" t="s">
        <v>39</v>
      </c>
      <c r="G443" s="2">
        <v>-3640</v>
      </c>
      <c r="H443" s="2">
        <v>5388644.6399999997</v>
      </c>
      <c r="I443" s="1" t="s">
        <v>40</v>
      </c>
      <c r="J443" s="1" t="s">
        <v>49</v>
      </c>
      <c r="K443" s="1" t="s">
        <v>283</v>
      </c>
      <c r="L443" s="1" t="s">
        <v>39</v>
      </c>
      <c r="M443" s="1" t="s">
        <v>857</v>
      </c>
      <c r="N443" s="1" t="s">
        <v>43</v>
      </c>
    </row>
    <row r="444" spans="1:14" x14ac:dyDescent="0.25">
      <c r="A444" s="1" t="s">
        <v>858</v>
      </c>
      <c r="B444" s="1" t="s">
        <v>859</v>
      </c>
      <c r="C444" s="1" t="s">
        <v>860</v>
      </c>
      <c r="D444" s="1" t="s">
        <v>861</v>
      </c>
      <c r="E444" s="1" t="s">
        <v>38</v>
      </c>
      <c r="F444" s="1" t="s">
        <v>39</v>
      </c>
      <c r="G444" s="2">
        <v>-6483</v>
      </c>
      <c r="H444" s="2">
        <v>5392284.6399999997</v>
      </c>
      <c r="I444" s="1" t="s">
        <v>40</v>
      </c>
      <c r="J444" s="1" t="s">
        <v>49</v>
      </c>
      <c r="K444" s="1" t="s">
        <v>279</v>
      </c>
      <c r="L444" s="1" t="s">
        <v>39</v>
      </c>
      <c r="M444" s="1" t="s">
        <v>862</v>
      </c>
      <c r="N444" s="1" t="s">
        <v>43</v>
      </c>
    </row>
    <row r="445" spans="1:14" x14ac:dyDescent="0.25">
      <c r="A445" s="1" t="s">
        <v>858</v>
      </c>
      <c r="B445" s="1" t="s">
        <v>859</v>
      </c>
      <c r="C445" s="1" t="s">
        <v>860</v>
      </c>
      <c r="D445" s="1" t="s">
        <v>48</v>
      </c>
      <c r="E445" s="1" t="s">
        <v>38</v>
      </c>
      <c r="F445" s="1" t="s">
        <v>39</v>
      </c>
      <c r="G445" s="2">
        <v>-48</v>
      </c>
      <c r="H445" s="2">
        <v>5398767.6399999997</v>
      </c>
      <c r="I445" s="1" t="s">
        <v>40</v>
      </c>
      <c r="J445" s="1" t="s">
        <v>49</v>
      </c>
      <c r="K445" s="1" t="s">
        <v>42</v>
      </c>
      <c r="L445" s="1" t="s">
        <v>39</v>
      </c>
      <c r="M445" s="1" t="s">
        <v>39</v>
      </c>
      <c r="N445" s="1" t="s">
        <v>43</v>
      </c>
    </row>
    <row r="446" spans="1:14" x14ac:dyDescent="0.25">
      <c r="A446" s="1" t="s">
        <v>863</v>
      </c>
      <c r="B446" s="1" t="s">
        <v>864</v>
      </c>
      <c r="C446" s="1" t="s">
        <v>864</v>
      </c>
      <c r="D446" s="1" t="s">
        <v>48</v>
      </c>
      <c r="E446" s="1" t="s">
        <v>38</v>
      </c>
      <c r="F446" s="1" t="s">
        <v>39</v>
      </c>
      <c r="G446" s="2">
        <v>-63</v>
      </c>
      <c r="H446" s="2">
        <v>5398815.6399999997</v>
      </c>
      <c r="I446" s="1" t="s">
        <v>40</v>
      </c>
      <c r="J446" s="1" t="s">
        <v>49</v>
      </c>
      <c r="K446" s="1" t="s">
        <v>42</v>
      </c>
      <c r="L446" s="1" t="s">
        <v>39</v>
      </c>
      <c r="M446" s="1" t="s">
        <v>39</v>
      </c>
      <c r="N446" s="1" t="s">
        <v>43</v>
      </c>
    </row>
    <row r="447" spans="1:14" x14ac:dyDescent="0.25">
      <c r="A447" s="1" t="s">
        <v>863</v>
      </c>
      <c r="B447" s="1" t="s">
        <v>864</v>
      </c>
      <c r="C447" s="1" t="s">
        <v>864</v>
      </c>
      <c r="D447" s="1" t="s">
        <v>865</v>
      </c>
      <c r="E447" s="1" t="s">
        <v>38</v>
      </c>
      <c r="F447" s="1" t="s">
        <v>39</v>
      </c>
      <c r="G447" s="2">
        <v>-12537</v>
      </c>
      <c r="H447" s="2">
        <v>5398878.6399999997</v>
      </c>
      <c r="I447" s="1" t="s">
        <v>40</v>
      </c>
      <c r="J447" s="1" t="s">
        <v>49</v>
      </c>
      <c r="K447" s="1" t="s">
        <v>283</v>
      </c>
      <c r="L447" s="1" t="s">
        <v>39</v>
      </c>
      <c r="M447" s="1" t="s">
        <v>866</v>
      </c>
      <c r="N447" s="1" t="s">
        <v>43</v>
      </c>
    </row>
    <row r="448" spans="1:14" x14ac:dyDescent="0.25">
      <c r="A448" s="1" t="s">
        <v>867</v>
      </c>
      <c r="B448" s="1" t="s">
        <v>868</v>
      </c>
      <c r="C448" s="1" t="s">
        <v>869</v>
      </c>
      <c r="D448" s="1" t="s">
        <v>870</v>
      </c>
      <c r="E448" s="1" t="s">
        <v>38</v>
      </c>
      <c r="F448" s="1" t="s">
        <v>39</v>
      </c>
      <c r="G448" s="2">
        <v>-21500</v>
      </c>
      <c r="H448" s="2">
        <v>5411415.6399999997</v>
      </c>
      <c r="I448" s="1" t="s">
        <v>40</v>
      </c>
      <c r="J448" s="1" t="s">
        <v>49</v>
      </c>
      <c r="K448" s="1" t="s">
        <v>220</v>
      </c>
      <c r="L448" s="1" t="s">
        <v>39</v>
      </c>
      <c r="M448" s="1" t="s">
        <v>871</v>
      </c>
      <c r="N448" s="1" t="s">
        <v>43</v>
      </c>
    </row>
    <row r="449" spans="1:14" x14ac:dyDescent="0.25">
      <c r="A449" s="1" t="s">
        <v>867</v>
      </c>
      <c r="B449" s="1" t="s">
        <v>868</v>
      </c>
      <c r="C449" s="1" t="s">
        <v>869</v>
      </c>
      <c r="D449" s="1" t="s">
        <v>48</v>
      </c>
      <c r="E449" s="1" t="s">
        <v>38</v>
      </c>
      <c r="F449" s="1" t="s">
        <v>39</v>
      </c>
      <c r="G449" s="2">
        <v>-74</v>
      </c>
      <c r="H449" s="2">
        <v>5432915.6399999997</v>
      </c>
      <c r="I449" s="1" t="s">
        <v>40</v>
      </c>
      <c r="J449" s="1" t="s">
        <v>49</v>
      </c>
      <c r="K449" s="1" t="s">
        <v>42</v>
      </c>
      <c r="L449" s="1" t="s">
        <v>39</v>
      </c>
      <c r="M449" s="1" t="s">
        <v>39</v>
      </c>
      <c r="N449" s="1" t="s">
        <v>43</v>
      </c>
    </row>
    <row r="450" spans="1:14" x14ac:dyDescent="0.25">
      <c r="A450" s="1" t="s">
        <v>872</v>
      </c>
      <c r="B450" s="1" t="s">
        <v>873</v>
      </c>
      <c r="C450" s="1" t="s">
        <v>873</v>
      </c>
      <c r="D450" s="1" t="s">
        <v>48</v>
      </c>
      <c r="E450" s="1" t="s">
        <v>38</v>
      </c>
      <c r="F450" s="1" t="s">
        <v>39</v>
      </c>
      <c r="G450" s="2">
        <v>-115</v>
      </c>
      <c r="H450" s="2">
        <v>5432989.6399999997</v>
      </c>
      <c r="I450" s="1" t="s">
        <v>40</v>
      </c>
      <c r="J450" s="1" t="s">
        <v>49</v>
      </c>
      <c r="K450" s="1" t="s">
        <v>42</v>
      </c>
      <c r="L450" s="1" t="s">
        <v>39</v>
      </c>
      <c r="M450" s="1" t="s">
        <v>39</v>
      </c>
      <c r="N450" s="1" t="s">
        <v>43</v>
      </c>
    </row>
    <row r="451" spans="1:14" x14ac:dyDescent="0.25">
      <c r="A451" s="1" t="s">
        <v>872</v>
      </c>
      <c r="B451" s="1" t="s">
        <v>873</v>
      </c>
      <c r="C451" s="1" t="s">
        <v>873</v>
      </c>
      <c r="D451" s="1" t="s">
        <v>874</v>
      </c>
      <c r="E451" s="1" t="s">
        <v>38</v>
      </c>
      <c r="F451" s="1" t="s">
        <v>39</v>
      </c>
      <c r="G451" s="2">
        <v>-46115</v>
      </c>
      <c r="H451" s="2">
        <v>5433104.6399999997</v>
      </c>
      <c r="I451" s="1" t="s">
        <v>40</v>
      </c>
      <c r="J451" s="1" t="s">
        <v>49</v>
      </c>
      <c r="K451" s="1" t="s">
        <v>77</v>
      </c>
      <c r="L451" s="1" t="s">
        <v>39</v>
      </c>
      <c r="M451" s="1" t="s">
        <v>875</v>
      </c>
      <c r="N451" s="1" t="s">
        <v>43</v>
      </c>
    </row>
    <row r="452" spans="1:14" x14ac:dyDescent="0.25">
      <c r="A452" s="1" t="s">
        <v>876</v>
      </c>
      <c r="B452" s="1" t="s">
        <v>877</v>
      </c>
      <c r="C452" s="1" t="s">
        <v>878</v>
      </c>
      <c r="D452" s="1" t="s">
        <v>879</v>
      </c>
      <c r="E452" s="1" t="s">
        <v>38</v>
      </c>
      <c r="F452" s="1" t="s">
        <v>39</v>
      </c>
      <c r="G452" s="2">
        <v>-30000</v>
      </c>
      <c r="H452" s="2">
        <v>5479219.6399999997</v>
      </c>
      <c r="I452" s="1" t="s">
        <v>40</v>
      </c>
      <c r="J452" s="1" t="s">
        <v>49</v>
      </c>
      <c r="K452" s="1" t="s">
        <v>880</v>
      </c>
      <c r="L452" s="1" t="s">
        <v>39</v>
      </c>
      <c r="M452" s="1" t="s">
        <v>881</v>
      </c>
      <c r="N452" s="1" t="s">
        <v>43</v>
      </c>
    </row>
    <row r="453" spans="1:14" x14ac:dyDescent="0.25">
      <c r="A453" s="1" t="s">
        <v>876</v>
      </c>
      <c r="B453" s="1" t="s">
        <v>877</v>
      </c>
      <c r="C453" s="1" t="s">
        <v>878</v>
      </c>
      <c r="D453" s="1" t="s">
        <v>48</v>
      </c>
      <c r="E453" s="1" t="s">
        <v>38</v>
      </c>
      <c r="F453" s="1" t="s">
        <v>39</v>
      </c>
      <c r="G453" s="2">
        <v>-79</v>
      </c>
      <c r="H453" s="2">
        <v>5509219.6399999997</v>
      </c>
      <c r="I453" s="1" t="s">
        <v>40</v>
      </c>
      <c r="J453" s="1" t="s">
        <v>49</v>
      </c>
      <c r="K453" s="1" t="s">
        <v>42</v>
      </c>
      <c r="L453" s="1" t="s">
        <v>39</v>
      </c>
      <c r="M453" s="1" t="s">
        <v>39</v>
      </c>
      <c r="N453" s="1" t="s">
        <v>43</v>
      </c>
    </row>
    <row r="454" spans="1:14" x14ac:dyDescent="0.25">
      <c r="A454" s="1" t="s">
        <v>882</v>
      </c>
      <c r="B454" s="1" t="s">
        <v>883</v>
      </c>
      <c r="C454" s="1" t="s">
        <v>883</v>
      </c>
      <c r="D454" s="1" t="s">
        <v>48</v>
      </c>
      <c r="E454" s="1" t="s">
        <v>38</v>
      </c>
      <c r="F454" s="1" t="s">
        <v>39</v>
      </c>
      <c r="G454" s="2">
        <v>-63</v>
      </c>
      <c r="H454" s="2">
        <v>5509298.6399999997</v>
      </c>
      <c r="I454" s="1" t="s">
        <v>40</v>
      </c>
      <c r="J454" s="1" t="s">
        <v>49</v>
      </c>
      <c r="K454" s="1" t="s">
        <v>42</v>
      </c>
      <c r="L454" s="1" t="s">
        <v>39</v>
      </c>
      <c r="M454" s="1" t="s">
        <v>39</v>
      </c>
      <c r="N454" s="1" t="s">
        <v>43</v>
      </c>
    </row>
    <row r="455" spans="1:14" x14ac:dyDescent="0.25">
      <c r="A455" s="1" t="s">
        <v>882</v>
      </c>
      <c r="B455" s="1" t="s">
        <v>883</v>
      </c>
      <c r="C455" s="1" t="s">
        <v>883</v>
      </c>
      <c r="D455" s="1" t="s">
        <v>884</v>
      </c>
      <c r="E455" s="1" t="s">
        <v>38</v>
      </c>
      <c r="F455" s="1" t="s">
        <v>39</v>
      </c>
      <c r="G455" s="2">
        <v>-13470</v>
      </c>
      <c r="H455" s="2">
        <v>5509361.6399999997</v>
      </c>
      <c r="I455" s="1" t="s">
        <v>40</v>
      </c>
      <c r="J455" s="1" t="s">
        <v>49</v>
      </c>
      <c r="K455" s="1" t="s">
        <v>885</v>
      </c>
      <c r="L455" s="1" t="s">
        <v>39</v>
      </c>
      <c r="M455" s="1" t="s">
        <v>886</v>
      </c>
      <c r="N455" s="1" t="s">
        <v>43</v>
      </c>
    </row>
    <row r="456" spans="1:14" x14ac:dyDescent="0.25">
      <c r="A456" s="1" t="s">
        <v>887</v>
      </c>
      <c r="B456" s="1" t="s">
        <v>888</v>
      </c>
      <c r="C456" s="1" t="s">
        <v>888</v>
      </c>
      <c r="D456" s="1" t="s">
        <v>37</v>
      </c>
      <c r="E456" s="1" t="s">
        <v>38</v>
      </c>
      <c r="F456" s="1" t="s">
        <v>39</v>
      </c>
      <c r="G456" s="2">
        <v>-63</v>
      </c>
      <c r="H456" s="2">
        <v>5522831.6399999997</v>
      </c>
      <c r="I456" s="1" t="s">
        <v>40</v>
      </c>
      <c r="J456" s="1" t="s">
        <v>41</v>
      </c>
      <c r="K456" s="1" t="s">
        <v>42</v>
      </c>
      <c r="L456" s="1" t="s">
        <v>39</v>
      </c>
      <c r="M456" s="1" t="s">
        <v>39</v>
      </c>
      <c r="N456" s="1" t="s">
        <v>43</v>
      </c>
    </row>
    <row r="457" spans="1:14" x14ac:dyDescent="0.25">
      <c r="A457" s="1" t="s">
        <v>887</v>
      </c>
      <c r="B457" s="1" t="s">
        <v>888</v>
      </c>
      <c r="C457" s="1" t="s">
        <v>888</v>
      </c>
      <c r="D457" s="1" t="s">
        <v>889</v>
      </c>
      <c r="E457" s="1" t="s">
        <v>38</v>
      </c>
      <c r="F457" s="1" t="s">
        <v>39</v>
      </c>
      <c r="G457" s="2">
        <v>-12000</v>
      </c>
      <c r="H457" s="2">
        <v>5522894.6399999997</v>
      </c>
      <c r="I457" s="1" t="s">
        <v>40</v>
      </c>
      <c r="J457" s="1" t="s">
        <v>41</v>
      </c>
      <c r="K457" s="1" t="s">
        <v>890</v>
      </c>
      <c r="L457" s="1" t="s">
        <v>39</v>
      </c>
      <c r="M457" s="1" t="s">
        <v>39</v>
      </c>
      <c r="N457" s="1" t="s">
        <v>43</v>
      </c>
    </row>
    <row r="458" spans="1:14" x14ac:dyDescent="0.25">
      <c r="A458" s="1" t="s">
        <v>891</v>
      </c>
      <c r="B458" s="1" t="s">
        <v>892</v>
      </c>
      <c r="C458" s="1" t="s">
        <v>892</v>
      </c>
      <c r="D458" s="1" t="s">
        <v>37</v>
      </c>
      <c r="E458" s="1" t="s">
        <v>38</v>
      </c>
      <c r="F458" s="1" t="s">
        <v>39</v>
      </c>
      <c r="G458" s="2">
        <v>-18</v>
      </c>
      <c r="H458" s="2">
        <v>5534894.6399999997</v>
      </c>
      <c r="I458" s="1" t="s">
        <v>40</v>
      </c>
      <c r="J458" s="1" t="s">
        <v>41</v>
      </c>
      <c r="K458" s="1" t="s">
        <v>42</v>
      </c>
      <c r="L458" s="1" t="s">
        <v>39</v>
      </c>
      <c r="M458" s="1" t="s">
        <v>39</v>
      </c>
      <c r="N458" s="1" t="s">
        <v>43</v>
      </c>
    </row>
    <row r="459" spans="1:14" x14ac:dyDescent="0.25">
      <c r="A459" s="1" t="s">
        <v>891</v>
      </c>
      <c r="B459" s="1" t="s">
        <v>892</v>
      </c>
      <c r="C459" s="1" t="s">
        <v>892</v>
      </c>
      <c r="D459" s="1" t="s">
        <v>893</v>
      </c>
      <c r="E459" s="1" t="s">
        <v>38</v>
      </c>
      <c r="F459" s="1" t="s">
        <v>39</v>
      </c>
      <c r="G459" s="2">
        <v>-1500</v>
      </c>
      <c r="H459" s="2">
        <v>5534912.6399999997</v>
      </c>
      <c r="I459" s="1" t="s">
        <v>40</v>
      </c>
      <c r="J459" s="1" t="s">
        <v>41</v>
      </c>
      <c r="K459" s="1" t="s">
        <v>894</v>
      </c>
      <c r="L459" s="1" t="s">
        <v>39</v>
      </c>
      <c r="M459" s="1" t="s">
        <v>39</v>
      </c>
      <c r="N459" s="1" t="s">
        <v>43</v>
      </c>
    </row>
    <row r="460" spans="1:14" x14ac:dyDescent="0.25">
      <c r="A460" s="1" t="s">
        <v>895</v>
      </c>
      <c r="B460" s="1" t="s">
        <v>896</v>
      </c>
      <c r="C460" s="1" t="s">
        <v>896</v>
      </c>
      <c r="D460" s="1" t="s">
        <v>48</v>
      </c>
      <c r="E460" s="1" t="s">
        <v>38</v>
      </c>
      <c r="F460" s="1" t="s">
        <v>39</v>
      </c>
      <c r="G460" s="2">
        <v>-63</v>
      </c>
      <c r="H460" s="2">
        <v>5536412.6399999997</v>
      </c>
      <c r="I460" s="1" t="s">
        <v>40</v>
      </c>
      <c r="J460" s="1" t="s">
        <v>49</v>
      </c>
      <c r="K460" s="1" t="s">
        <v>42</v>
      </c>
      <c r="L460" s="1" t="s">
        <v>39</v>
      </c>
      <c r="M460" s="1" t="s">
        <v>39</v>
      </c>
      <c r="N460" s="1" t="s">
        <v>43</v>
      </c>
    </row>
    <row r="461" spans="1:14" x14ac:dyDescent="0.25">
      <c r="A461" s="1" t="s">
        <v>895</v>
      </c>
      <c r="B461" s="1" t="s">
        <v>896</v>
      </c>
      <c r="C461" s="1" t="s">
        <v>896</v>
      </c>
      <c r="D461" s="1" t="s">
        <v>897</v>
      </c>
      <c r="E461" s="1" t="s">
        <v>38</v>
      </c>
      <c r="F461" s="1" t="s">
        <v>39</v>
      </c>
      <c r="G461" s="2">
        <v>-11500</v>
      </c>
      <c r="H461" s="2">
        <v>5536475.6399999997</v>
      </c>
      <c r="I461" s="1" t="s">
        <v>40</v>
      </c>
      <c r="J461" s="1" t="s">
        <v>49</v>
      </c>
      <c r="K461" s="1" t="s">
        <v>261</v>
      </c>
      <c r="L461" s="1" t="s">
        <v>39</v>
      </c>
      <c r="M461" s="1" t="s">
        <v>898</v>
      </c>
      <c r="N461" s="1" t="s">
        <v>43</v>
      </c>
    </row>
    <row r="462" spans="1:14" x14ac:dyDescent="0.25">
      <c r="A462" s="1" t="s">
        <v>899</v>
      </c>
      <c r="B462" s="1" t="s">
        <v>900</v>
      </c>
      <c r="C462" s="1" t="s">
        <v>900</v>
      </c>
      <c r="D462" s="1" t="s">
        <v>37</v>
      </c>
      <c r="E462" s="1" t="s">
        <v>38</v>
      </c>
      <c r="F462" s="1" t="s">
        <v>39</v>
      </c>
      <c r="G462" s="2">
        <v>-13</v>
      </c>
      <c r="H462" s="2">
        <v>5547975.6399999997</v>
      </c>
      <c r="I462" s="1" t="s">
        <v>40</v>
      </c>
      <c r="J462" s="1" t="s">
        <v>41</v>
      </c>
      <c r="K462" s="1" t="s">
        <v>42</v>
      </c>
      <c r="L462" s="1" t="s">
        <v>39</v>
      </c>
      <c r="M462" s="1" t="s">
        <v>39</v>
      </c>
      <c r="N462" s="1" t="s">
        <v>43</v>
      </c>
    </row>
    <row r="463" spans="1:14" x14ac:dyDescent="0.25">
      <c r="A463" s="1" t="s">
        <v>899</v>
      </c>
      <c r="B463" s="1" t="s">
        <v>900</v>
      </c>
      <c r="C463" s="1" t="s">
        <v>900</v>
      </c>
      <c r="D463" s="1" t="s">
        <v>889</v>
      </c>
      <c r="E463" s="1" t="s">
        <v>38</v>
      </c>
      <c r="F463" s="1" t="s">
        <v>39</v>
      </c>
      <c r="G463" s="2">
        <v>-600</v>
      </c>
      <c r="H463" s="2">
        <v>5547988.6399999997</v>
      </c>
      <c r="I463" s="1" t="s">
        <v>40</v>
      </c>
      <c r="J463" s="1" t="s">
        <v>41</v>
      </c>
      <c r="K463" s="1" t="s">
        <v>890</v>
      </c>
      <c r="L463" s="1" t="s">
        <v>39</v>
      </c>
      <c r="M463" s="1" t="s">
        <v>39</v>
      </c>
      <c r="N463" s="1" t="s">
        <v>43</v>
      </c>
    </row>
    <row r="464" spans="1:14" x14ac:dyDescent="0.25">
      <c r="A464" s="1" t="s">
        <v>901</v>
      </c>
      <c r="B464" s="1" t="s">
        <v>902</v>
      </c>
      <c r="C464" s="1" t="s">
        <v>902</v>
      </c>
      <c r="D464" s="1" t="s">
        <v>903</v>
      </c>
      <c r="E464" s="1" t="s">
        <v>38</v>
      </c>
      <c r="F464" s="1" t="s">
        <v>39</v>
      </c>
      <c r="G464" s="2">
        <v>-100000</v>
      </c>
      <c r="H464" s="2">
        <v>5548588.6399999997</v>
      </c>
      <c r="I464" s="1" t="s">
        <v>40</v>
      </c>
      <c r="J464" s="1" t="s">
        <v>41</v>
      </c>
      <c r="K464" s="1" t="s">
        <v>904</v>
      </c>
      <c r="L464" s="1" t="s">
        <v>39</v>
      </c>
      <c r="M464" s="1" t="s">
        <v>39</v>
      </c>
      <c r="N464" s="1" t="s">
        <v>43</v>
      </c>
    </row>
    <row r="465" spans="1:14" x14ac:dyDescent="0.25">
      <c r="A465" s="1" t="s">
        <v>905</v>
      </c>
      <c r="B465" s="1" t="s">
        <v>906</v>
      </c>
      <c r="C465" s="1" t="s">
        <v>906</v>
      </c>
      <c r="D465" s="1" t="s">
        <v>903</v>
      </c>
      <c r="E465" s="1" t="s">
        <v>38</v>
      </c>
      <c r="F465" s="1" t="s">
        <v>39</v>
      </c>
      <c r="G465" s="2">
        <v>-200000</v>
      </c>
      <c r="H465" s="2">
        <v>5648588.6399999997</v>
      </c>
      <c r="I465" s="1" t="s">
        <v>40</v>
      </c>
      <c r="J465" s="1" t="s">
        <v>41</v>
      </c>
      <c r="K465" s="1" t="s">
        <v>904</v>
      </c>
      <c r="L465" s="1" t="s">
        <v>39</v>
      </c>
      <c r="M465" s="1" t="s">
        <v>39</v>
      </c>
      <c r="N465" s="1" t="s">
        <v>43</v>
      </c>
    </row>
    <row r="466" spans="1:14" x14ac:dyDescent="0.25">
      <c r="A466" s="1" t="s">
        <v>907</v>
      </c>
      <c r="B466" s="1" t="s">
        <v>908</v>
      </c>
      <c r="C466" s="1" t="s">
        <v>908</v>
      </c>
      <c r="D466" s="1" t="s">
        <v>37</v>
      </c>
      <c r="E466" s="1" t="s">
        <v>38</v>
      </c>
      <c r="F466" s="1" t="s">
        <v>39</v>
      </c>
      <c r="G466" s="2">
        <v>-48</v>
      </c>
      <c r="H466" s="2">
        <v>5848588.6399999997</v>
      </c>
      <c r="I466" s="1" t="s">
        <v>40</v>
      </c>
      <c r="J466" s="1" t="s">
        <v>41</v>
      </c>
      <c r="K466" s="1" t="s">
        <v>42</v>
      </c>
      <c r="L466" s="1" t="s">
        <v>39</v>
      </c>
      <c r="M466" s="1" t="s">
        <v>39</v>
      </c>
      <c r="N466" s="1" t="s">
        <v>43</v>
      </c>
    </row>
    <row r="467" spans="1:14" x14ac:dyDescent="0.25">
      <c r="A467" s="1" t="s">
        <v>907</v>
      </c>
      <c r="B467" s="1" t="s">
        <v>908</v>
      </c>
      <c r="C467" s="1" t="s">
        <v>908</v>
      </c>
      <c r="D467" s="1" t="s">
        <v>909</v>
      </c>
      <c r="E467" s="1" t="s">
        <v>38</v>
      </c>
      <c r="F467" s="1" t="s">
        <v>39</v>
      </c>
      <c r="G467" s="2">
        <v>-6000</v>
      </c>
      <c r="H467" s="2">
        <v>5848636.6399999997</v>
      </c>
      <c r="I467" s="1" t="s">
        <v>40</v>
      </c>
      <c r="J467" s="1" t="s">
        <v>41</v>
      </c>
      <c r="K467" s="1" t="s">
        <v>910</v>
      </c>
      <c r="L467" s="1" t="s">
        <v>39</v>
      </c>
      <c r="M467" s="1" t="s">
        <v>39</v>
      </c>
      <c r="N467" s="1" t="s">
        <v>43</v>
      </c>
    </row>
    <row r="468" spans="1:14" x14ac:dyDescent="0.25">
      <c r="A468" s="1" t="s">
        <v>911</v>
      </c>
      <c r="B468" s="1" t="s">
        <v>912</v>
      </c>
      <c r="C468" s="1" t="s">
        <v>912</v>
      </c>
      <c r="D468" s="1" t="s">
        <v>48</v>
      </c>
      <c r="E468" s="1" t="s">
        <v>38</v>
      </c>
      <c r="F468" s="1" t="s">
        <v>39</v>
      </c>
      <c r="G468" s="2">
        <v>-8</v>
      </c>
      <c r="H468" s="2">
        <v>5854636.6399999997</v>
      </c>
      <c r="I468" s="1" t="s">
        <v>40</v>
      </c>
      <c r="J468" s="1" t="s">
        <v>49</v>
      </c>
      <c r="K468" s="1" t="s">
        <v>42</v>
      </c>
      <c r="L468" s="1" t="s">
        <v>39</v>
      </c>
      <c r="M468" s="1" t="s">
        <v>39</v>
      </c>
      <c r="N468" s="1" t="s">
        <v>43</v>
      </c>
    </row>
    <row r="469" spans="1:14" x14ac:dyDescent="0.25">
      <c r="A469" s="1" t="s">
        <v>911</v>
      </c>
      <c r="B469" s="1" t="s">
        <v>912</v>
      </c>
      <c r="C469" s="1" t="s">
        <v>912</v>
      </c>
      <c r="D469" s="1" t="s">
        <v>913</v>
      </c>
      <c r="E469" s="1" t="s">
        <v>38</v>
      </c>
      <c r="F469" s="1" t="s">
        <v>39</v>
      </c>
      <c r="G469" s="2">
        <v>-500</v>
      </c>
      <c r="H469" s="2">
        <v>5854644.6399999997</v>
      </c>
      <c r="I469" s="1" t="s">
        <v>40</v>
      </c>
      <c r="J469" s="1" t="s">
        <v>49</v>
      </c>
      <c r="K469" s="1" t="s">
        <v>914</v>
      </c>
      <c r="L469" s="1" t="s">
        <v>39</v>
      </c>
      <c r="M469" s="1" t="s">
        <v>915</v>
      </c>
      <c r="N469" s="1" t="s">
        <v>43</v>
      </c>
    </row>
    <row r="470" spans="1:14" x14ac:dyDescent="0.25">
      <c r="A470" s="1" t="s">
        <v>916</v>
      </c>
      <c r="B470" s="1" t="s">
        <v>917</v>
      </c>
      <c r="C470" s="1" t="s">
        <v>917</v>
      </c>
      <c r="D470" s="1" t="s">
        <v>37</v>
      </c>
      <c r="E470" s="1" t="s">
        <v>38</v>
      </c>
      <c r="F470" s="1" t="s">
        <v>39</v>
      </c>
      <c r="G470" s="2">
        <v>-18</v>
      </c>
      <c r="H470" s="2">
        <v>5855144.6399999997</v>
      </c>
      <c r="I470" s="1" t="s">
        <v>40</v>
      </c>
      <c r="J470" s="1" t="s">
        <v>41</v>
      </c>
      <c r="K470" s="1" t="s">
        <v>42</v>
      </c>
      <c r="L470" s="1" t="s">
        <v>39</v>
      </c>
      <c r="M470" s="1" t="s">
        <v>39</v>
      </c>
      <c r="N470" s="1" t="s">
        <v>43</v>
      </c>
    </row>
    <row r="471" spans="1:14" x14ac:dyDescent="0.25">
      <c r="A471" s="1" t="s">
        <v>916</v>
      </c>
      <c r="B471" s="1" t="s">
        <v>917</v>
      </c>
      <c r="C471" s="1" t="s">
        <v>917</v>
      </c>
      <c r="D471" s="1" t="s">
        <v>238</v>
      </c>
      <c r="E471" s="1" t="s">
        <v>38</v>
      </c>
      <c r="F471" s="1" t="s">
        <v>39</v>
      </c>
      <c r="G471" s="2">
        <v>-1500</v>
      </c>
      <c r="H471" s="2">
        <v>5855162.6399999997</v>
      </c>
      <c r="I471" s="1" t="s">
        <v>40</v>
      </c>
      <c r="J471" s="1" t="s">
        <v>41</v>
      </c>
      <c r="K471" s="1" t="s">
        <v>239</v>
      </c>
      <c r="L471" s="1" t="s">
        <v>39</v>
      </c>
      <c r="M471" s="1" t="s">
        <v>39</v>
      </c>
      <c r="N471" s="1" t="s">
        <v>43</v>
      </c>
    </row>
    <row r="472" spans="1:14" x14ac:dyDescent="0.25">
      <c r="A472" s="1" t="s">
        <v>918</v>
      </c>
      <c r="B472" s="1" t="s">
        <v>919</v>
      </c>
      <c r="C472" s="1" t="s">
        <v>920</v>
      </c>
      <c r="D472" s="1" t="s">
        <v>921</v>
      </c>
      <c r="E472" s="1" t="s">
        <v>38</v>
      </c>
      <c r="F472" s="1" t="s">
        <v>39</v>
      </c>
      <c r="G472" s="2">
        <v>-1170</v>
      </c>
      <c r="H472" s="2">
        <v>5856662.6399999997</v>
      </c>
      <c r="I472" s="1" t="s">
        <v>40</v>
      </c>
      <c r="J472" s="1" t="s">
        <v>49</v>
      </c>
      <c r="K472" s="1" t="s">
        <v>279</v>
      </c>
      <c r="L472" s="1" t="s">
        <v>39</v>
      </c>
      <c r="M472" s="1" t="s">
        <v>922</v>
      </c>
      <c r="N472" s="1" t="s">
        <v>43</v>
      </c>
    </row>
    <row r="473" spans="1:14" x14ac:dyDescent="0.25">
      <c r="A473" s="1" t="s">
        <v>918</v>
      </c>
      <c r="B473" s="1" t="s">
        <v>919</v>
      </c>
      <c r="C473" s="1" t="s">
        <v>920</v>
      </c>
      <c r="D473" s="1" t="s">
        <v>48</v>
      </c>
      <c r="E473" s="1" t="s">
        <v>38</v>
      </c>
      <c r="F473" s="1" t="s">
        <v>39</v>
      </c>
      <c r="G473" s="2">
        <v>-18</v>
      </c>
      <c r="H473" s="2">
        <v>5857832.6399999997</v>
      </c>
      <c r="I473" s="1" t="s">
        <v>40</v>
      </c>
      <c r="J473" s="1" t="s">
        <v>49</v>
      </c>
      <c r="K473" s="1" t="s">
        <v>42</v>
      </c>
      <c r="L473" s="1" t="s">
        <v>39</v>
      </c>
      <c r="M473" s="1" t="s">
        <v>39</v>
      </c>
      <c r="N473" s="1" t="s">
        <v>43</v>
      </c>
    </row>
    <row r="474" spans="1:14" x14ac:dyDescent="0.25">
      <c r="A474" s="1" t="s">
        <v>923</v>
      </c>
      <c r="B474" s="1" t="s">
        <v>924</v>
      </c>
      <c r="C474" s="1" t="s">
        <v>924</v>
      </c>
      <c r="D474" s="1" t="s">
        <v>37</v>
      </c>
      <c r="E474" s="1" t="s">
        <v>38</v>
      </c>
      <c r="F474" s="1" t="s">
        <v>39</v>
      </c>
      <c r="G474" s="2">
        <v>-54</v>
      </c>
      <c r="H474" s="2">
        <v>5857850.6399999997</v>
      </c>
      <c r="I474" s="1" t="s">
        <v>40</v>
      </c>
      <c r="J474" s="1" t="s">
        <v>41</v>
      </c>
      <c r="K474" s="1" t="s">
        <v>42</v>
      </c>
      <c r="L474" s="1" t="s">
        <v>39</v>
      </c>
      <c r="M474" s="1" t="s">
        <v>39</v>
      </c>
      <c r="N474" s="1" t="s">
        <v>43</v>
      </c>
    </row>
    <row r="475" spans="1:14" x14ac:dyDescent="0.25">
      <c r="A475" s="1" t="s">
        <v>923</v>
      </c>
      <c r="B475" s="1" t="s">
        <v>924</v>
      </c>
      <c r="C475" s="1" t="s">
        <v>924</v>
      </c>
      <c r="D475" s="1" t="s">
        <v>925</v>
      </c>
      <c r="E475" s="1" t="s">
        <v>38</v>
      </c>
      <c r="F475" s="1" t="s">
        <v>39</v>
      </c>
      <c r="G475" s="2">
        <v>-10000</v>
      </c>
      <c r="H475" s="2">
        <v>5857904.6399999997</v>
      </c>
      <c r="I475" s="1" t="s">
        <v>40</v>
      </c>
      <c r="J475" s="1" t="s">
        <v>41</v>
      </c>
      <c r="K475" s="1" t="s">
        <v>926</v>
      </c>
      <c r="L475" s="1" t="s">
        <v>39</v>
      </c>
      <c r="M475" s="1" t="s">
        <v>39</v>
      </c>
      <c r="N475" s="1" t="s">
        <v>43</v>
      </c>
    </row>
    <row r="476" spans="1:14" x14ac:dyDescent="0.25">
      <c r="A476" s="1" t="s">
        <v>927</v>
      </c>
      <c r="B476" s="1" t="s">
        <v>928</v>
      </c>
      <c r="C476" s="1" t="s">
        <v>928</v>
      </c>
      <c r="D476" s="1" t="s">
        <v>48</v>
      </c>
      <c r="E476" s="1" t="s">
        <v>38</v>
      </c>
      <c r="F476" s="1" t="s">
        <v>39</v>
      </c>
      <c r="G476" s="2">
        <v>-48</v>
      </c>
      <c r="H476" s="2">
        <v>5867904.6399999997</v>
      </c>
      <c r="I476" s="1" t="s">
        <v>40</v>
      </c>
      <c r="J476" s="1" t="s">
        <v>49</v>
      </c>
      <c r="K476" s="1" t="s">
        <v>42</v>
      </c>
      <c r="L476" s="1" t="s">
        <v>39</v>
      </c>
      <c r="M476" s="1" t="s">
        <v>39</v>
      </c>
      <c r="N476" s="1" t="s">
        <v>43</v>
      </c>
    </row>
    <row r="477" spans="1:14" x14ac:dyDescent="0.25">
      <c r="A477" s="1" t="s">
        <v>927</v>
      </c>
      <c r="B477" s="1" t="s">
        <v>928</v>
      </c>
      <c r="C477" s="1" t="s">
        <v>928</v>
      </c>
      <c r="D477" s="1" t="s">
        <v>929</v>
      </c>
      <c r="E477" s="1" t="s">
        <v>38</v>
      </c>
      <c r="F477" s="1" t="s">
        <v>39</v>
      </c>
      <c r="G477" s="2">
        <v>-6500</v>
      </c>
      <c r="H477" s="2">
        <v>5867952.6399999997</v>
      </c>
      <c r="I477" s="1" t="s">
        <v>40</v>
      </c>
      <c r="J477" s="1" t="s">
        <v>49</v>
      </c>
      <c r="K477" s="1" t="s">
        <v>930</v>
      </c>
      <c r="L477" s="1" t="s">
        <v>39</v>
      </c>
      <c r="M477" s="1" t="s">
        <v>931</v>
      </c>
      <c r="N477" s="1" t="s">
        <v>43</v>
      </c>
    </row>
    <row r="478" spans="1:14" x14ac:dyDescent="0.25">
      <c r="A478" s="1" t="s">
        <v>932</v>
      </c>
      <c r="B478" s="1" t="s">
        <v>933</v>
      </c>
      <c r="C478" s="1" t="s">
        <v>934</v>
      </c>
      <c r="D478" s="1" t="s">
        <v>935</v>
      </c>
      <c r="E478" s="1" t="s">
        <v>38</v>
      </c>
      <c r="F478" s="1" t="s">
        <v>39</v>
      </c>
      <c r="G478" s="2">
        <v>-87000</v>
      </c>
      <c r="H478" s="2">
        <v>5874452.6399999997</v>
      </c>
      <c r="I478" s="1" t="s">
        <v>40</v>
      </c>
      <c r="J478" s="1" t="s">
        <v>49</v>
      </c>
      <c r="K478" s="1" t="s">
        <v>936</v>
      </c>
      <c r="L478" s="1" t="s">
        <v>39</v>
      </c>
      <c r="M478" s="1" t="s">
        <v>937</v>
      </c>
      <c r="N478" s="1" t="s">
        <v>43</v>
      </c>
    </row>
    <row r="479" spans="1:14" x14ac:dyDescent="0.25">
      <c r="A479" s="1" t="s">
        <v>932</v>
      </c>
      <c r="B479" s="1" t="s">
        <v>933</v>
      </c>
      <c r="C479" s="1" t="s">
        <v>934</v>
      </c>
      <c r="D479" s="1" t="s">
        <v>48</v>
      </c>
      <c r="E479" s="1" t="s">
        <v>38</v>
      </c>
      <c r="F479" s="1" t="s">
        <v>39</v>
      </c>
      <c r="G479" s="2">
        <v>-115</v>
      </c>
      <c r="H479" s="2">
        <v>5961452.6399999997</v>
      </c>
      <c r="I479" s="1" t="s">
        <v>40</v>
      </c>
      <c r="J479" s="1" t="s">
        <v>49</v>
      </c>
      <c r="K479" s="1" t="s">
        <v>42</v>
      </c>
      <c r="L479" s="1" t="s">
        <v>39</v>
      </c>
      <c r="M479" s="1" t="s">
        <v>39</v>
      </c>
      <c r="N479" s="1" t="s">
        <v>43</v>
      </c>
    </row>
    <row r="480" spans="1:14" x14ac:dyDescent="0.25">
      <c r="A480" s="1" t="s">
        <v>938</v>
      </c>
      <c r="B480" s="1" t="s">
        <v>939</v>
      </c>
      <c r="C480" s="1" t="s">
        <v>939</v>
      </c>
      <c r="D480" s="1" t="s">
        <v>37</v>
      </c>
      <c r="E480" s="1" t="s">
        <v>38</v>
      </c>
      <c r="F480" s="1" t="s">
        <v>39</v>
      </c>
      <c r="G480" s="2">
        <v>-3</v>
      </c>
      <c r="H480" s="2">
        <v>5961567.6399999997</v>
      </c>
      <c r="I480" s="1" t="s">
        <v>40</v>
      </c>
      <c r="J480" s="1" t="s">
        <v>41</v>
      </c>
      <c r="K480" s="1" t="s">
        <v>42</v>
      </c>
      <c r="L480" s="1" t="s">
        <v>39</v>
      </c>
      <c r="M480" s="1" t="s">
        <v>39</v>
      </c>
      <c r="N480" s="1" t="s">
        <v>43</v>
      </c>
    </row>
    <row r="481" spans="1:14" x14ac:dyDescent="0.25">
      <c r="A481" s="1" t="s">
        <v>938</v>
      </c>
      <c r="B481" s="1" t="s">
        <v>939</v>
      </c>
      <c r="C481" s="1" t="s">
        <v>939</v>
      </c>
      <c r="D481" s="1" t="s">
        <v>940</v>
      </c>
      <c r="E481" s="1" t="s">
        <v>38</v>
      </c>
      <c r="F481" s="1" t="s">
        <v>39</v>
      </c>
      <c r="G481" s="2">
        <v>-100</v>
      </c>
      <c r="H481" s="2">
        <v>5961570.6399999997</v>
      </c>
      <c r="I481" s="1" t="s">
        <v>40</v>
      </c>
      <c r="J481" s="1" t="s">
        <v>41</v>
      </c>
      <c r="K481" s="1" t="s">
        <v>941</v>
      </c>
      <c r="L481" s="1" t="s">
        <v>39</v>
      </c>
      <c r="M481" s="1" t="s">
        <v>39</v>
      </c>
      <c r="N481" s="1" t="s">
        <v>43</v>
      </c>
    </row>
    <row r="482" spans="1:14" x14ac:dyDescent="0.25">
      <c r="A482" s="1" t="s">
        <v>942</v>
      </c>
      <c r="B482" s="1" t="s">
        <v>943</v>
      </c>
      <c r="C482" s="1" t="s">
        <v>943</v>
      </c>
      <c r="D482" s="1" t="s">
        <v>37</v>
      </c>
      <c r="E482" s="1" t="s">
        <v>38</v>
      </c>
      <c r="F482" s="1" t="s">
        <v>39</v>
      </c>
      <c r="G482" s="2">
        <v>-39</v>
      </c>
      <c r="H482" s="2">
        <v>5961670.6399999997</v>
      </c>
      <c r="I482" s="1" t="s">
        <v>40</v>
      </c>
      <c r="J482" s="1" t="s">
        <v>41</v>
      </c>
      <c r="K482" s="1" t="s">
        <v>42</v>
      </c>
      <c r="L482" s="1" t="s">
        <v>39</v>
      </c>
      <c r="M482" s="1" t="s">
        <v>39</v>
      </c>
      <c r="N482" s="1" t="s">
        <v>43</v>
      </c>
    </row>
    <row r="483" spans="1:14" x14ac:dyDescent="0.25">
      <c r="A483" s="1" t="s">
        <v>942</v>
      </c>
      <c r="B483" s="1" t="s">
        <v>943</v>
      </c>
      <c r="C483" s="1" t="s">
        <v>943</v>
      </c>
      <c r="D483" s="1" t="s">
        <v>126</v>
      </c>
      <c r="E483" s="1" t="s">
        <v>38</v>
      </c>
      <c r="F483" s="1" t="s">
        <v>39</v>
      </c>
      <c r="G483" s="2">
        <v>-3900</v>
      </c>
      <c r="H483" s="2">
        <v>5961709.6399999997</v>
      </c>
      <c r="I483" s="1" t="s">
        <v>40</v>
      </c>
      <c r="J483" s="1" t="s">
        <v>41</v>
      </c>
      <c r="K483" s="1" t="s">
        <v>82</v>
      </c>
      <c r="L483" s="1" t="s">
        <v>39</v>
      </c>
      <c r="M483" s="1" t="s">
        <v>39</v>
      </c>
      <c r="N483" s="1" t="s">
        <v>43</v>
      </c>
    </row>
    <row r="484" spans="1:14" x14ac:dyDescent="0.25">
      <c r="A484" s="1" t="s">
        <v>944</v>
      </c>
      <c r="B484" s="1" t="s">
        <v>945</v>
      </c>
      <c r="C484" s="1" t="s">
        <v>945</v>
      </c>
      <c r="D484" s="1" t="s">
        <v>48</v>
      </c>
      <c r="E484" s="1" t="s">
        <v>38</v>
      </c>
      <c r="F484" s="1" t="s">
        <v>39</v>
      </c>
      <c r="G484" s="2">
        <v>-13</v>
      </c>
      <c r="H484" s="2">
        <v>5965609.6399999997</v>
      </c>
      <c r="I484" s="1" t="s">
        <v>40</v>
      </c>
      <c r="J484" s="1" t="s">
        <v>49</v>
      </c>
      <c r="K484" s="1" t="s">
        <v>42</v>
      </c>
      <c r="L484" s="1" t="s">
        <v>39</v>
      </c>
      <c r="M484" s="1" t="s">
        <v>39</v>
      </c>
      <c r="N484" s="1" t="s">
        <v>43</v>
      </c>
    </row>
    <row r="485" spans="1:14" x14ac:dyDescent="0.25">
      <c r="A485" s="1" t="s">
        <v>944</v>
      </c>
      <c r="B485" s="1" t="s">
        <v>945</v>
      </c>
      <c r="C485" s="1" t="s">
        <v>945</v>
      </c>
      <c r="D485" s="1" t="s">
        <v>946</v>
      </c>
      <c r="E485" s="1" t="s">
        <v>38</v>
      </c>
      <c r="F485" s="1" t="s">
        <v>39</v>
      </c>
      <c r="G485" s="2">
        <v>-1000</v>
      </c>
      <c r="H485" s="2">
        <v>5965622.6399999997</v>
      </c>
      <c r="I485" s="1" t="s">
        <v>40</v>
      </c>
      <c r="J485" s="1" t="s">
        <v>49</v>
      </c>
      <c r="K485" s="1" t="s">
        <v>947</v>
      </c>
      <c r="L485" s="1" t="s">
        <v>39</v>
      </c>
      <c r="M485" s="1" t="s">
        <v>948</v>
      </c>
      <c r="N485" s="1" t="s">
        <v>43</v>
      </c>
    </row>
    <row r="486" spans="1:14" x14ac:dyDescent="0.25">
      <c r="A486" s="1" t="s">
        <v>949</v>
      </c>
      <c r="B486" s="1" t="s">
        <v>950</v>
      </c>
      <c r="C486" s="1" t="s">
        <v>950</v>
      </c>
      <c r="D486" s="1" t="s">
        <v>37</v>
      </c>
      <c r="E486" s="1" t="s">
        <v>38</v>
      </c>
      <c r="F486" s="1" t="s">
        <v>39</v>
      </c>
      <c r="G486" s="2">
        <v>-25</v>
      </c>
      <c r="H486" s="2">
        <v>5966622.6399999997</v>
      </c>
      <c r="I486" s="1" t="s">
        <v>40</v>
      </c>
      <c r="J486" s="1" t="s">
        <v>41</v>
      </c>
      <c r="K486" s="1" t="s">
        <v>42</v>
      </c>
      <c r="L486" s="1" t="s">
        <v>39</v>
      </c>
      <c r="M486" s="1" t="s">
        <v>39</v>
      </c>
      <c r="N486" s="1" t="s">
        <v>43</v>
      </c>
    </row>
    <row r="487" spans="1:14" x14ac:dyDescent="0.25">
      <c r="A487" s="1" t="s">
        <v>949</v>
      </c>
      <c r="B487" s="1" t="s">
        <v>950</v>
      </c>
      <c r="C487" s="1" t="s">
        <v>950</v>
      </c>
      <c r="D487" s="1" t="s">
        <v>951</v>
      </c>
      <c r="E487" s="1" t="s">
        <v>38</v>
      </c>
      <c r="F487" s="1" t="s">
        <v>39</v>
      </c>
      <c r="G487" s="2">
        <v>-2176</v>
      </c>
      <c r="H487" s="2">
        <v>5966647.6399999997</v>
      </c>
      <c r="I487" s="1" t="s">
        <v>40</v>
      </c>
      <c r="J487" s="1" t="s">
        <v>41</v>
      </c>
      <c r="K487" s="1" t="s">
        <v>952</v>
      </c>
      <c r="L487" s="1" t="s">
        <v>39</v>
      </c>
      <c r="M487" s="1" t="s">
        <v>39</v>
      </c>
      <c r="N487" s="1" t="s">
        <v>43</v>
      </c>
    </row>
    <row r="488" spans="1:14" x14ac:dyDescent="0.25">
      <c r="A488" s="1" t="s">
        <v>953</v>
      </c>
      <c r="B488" s="1" t="s">
        <v>954</v>
      </c>
      <c r="C488" s="1" t="s">
        <v>955</v>
      </c>
      <c r="D488" s="1" t="s">
        <v>48</v>
      </c>
      <c r="E488" s="1" t="s">
        <v>38</v>
      </c>
      <c r="F488" s="1" t="s">
        <v>39</v>
      </c>
      <c r="G488" s="2">
        <v>-106</v>
      </c>
      <c r="H488" s="2">
        <v>5968823.6399999997</v>
      </c>
      <c r="I488" s="1" t="s">
        <v>40</v>
      </c>
      <c r="J488" s="1" t="s">
        <v>49</v>
      </c>
      <c r="K488" s="1" t="s">
        <v>42</v>
      </c>
      <c r="L488" s="1" t="s">
        <v>39</v>
      </c>
      <c r="M488" s="1" t="s">
        <v>39</v>
      </c>
      <c r="N488" s="1" t="s">
        <v>43</v>
      </c>
    </row>
    <row r="489" spans="1:14" x14ac:dyDescent="0.25">
      <c r="A489" s="1" t="s">
        <v>953</v>
      </c>
      <c r="B489" s="1" t="s">
        <v>954</v>
      </c>
      <c r="C489" s="1" t="s">
        <v>955</v>
      </c>
      <c r="D489" s="1" t="s">
        <v>956</v>
      </c>
      <c r="E489" s="1" t="s">
        <v>38</v>
      </c>
      <c r="F489" s="1" t="s">
        <v>39</v>
      </c>
      <c r="G489" s="2">
        <v>-38999</v>
      </c>
      <c r="H489" s="2">
        <v>5968929.6399999997</v>
      </c>
      <c r="I489" s="1" t="s">
        <v>40</v>
      </c>
      <c r="J489" s="1" t="s">
        <v>49</v>
      </c>
      <c r="K489" s="1" t="s">
        <v>880</v>
      </c>
      <c r="L489" s="1" t="s">
        <v>39</v>
      </c>
      <c r="M489" s="1" t="s">
        <v>957</v>
      </c>
      <c r="N489" s="1" t="s">
        <v>43</v>
      </c>
    </row>
    <row r="490" spans="1:14" x14ac:dyDescent="0.25">
      <c r="A490" s="1" t="s">
        <v>958</v>
      </c>
      <c r="B490" s="1" t="s">
        <v>959</v>
      </c>
      <c r="C490" s="1" t="s">
        <v>959</v>
      </c>
      <c r="D490" s="1" t="s">
        <v>37</v>
      </c>
      <c r="E490" s="1" t="s">
        <v>38</v>
      </c>
      <c r="F490" s="1" t="s">
        <v>39</v>
      </c>
      <c r="G490" s="2">
        <v>-13</v>
      </c>
      <c r="H490" s="2">
        <v>6007928.6399999997</v>
      </c>
      <c r="I490" s="1" t="s">
        <v>40</v>
      </c>
      <c r="J490" s="1" t="s">
        <v>41</v>
      </c>
      <c r="K490" s="1" t="s">
        <v>42</v>
      </c>
      <c r="L490" s="1" t="s">
        <v>39</v>
      </c>
      <c r="M490" s="1" t="s">
        <v>39</v>
      </c>
      <c r="N490" s="1" t="s">
        <v>43</v>
      </c>
    </row>
    <row r="491" spans="1:14" x14ac:dyDescent="0.25">
      <c r="A491" s="1" t="s">
        <v>958</v>
      </c>
      <c r="B491" s="1" t="s">
        <v>959</v>
      </c>
      <c r="C491" s="1" t="s">
        <v>959</v>
      </c>
      <c r="D491" s="1" t="s">
        <v>960</v>
      </c>
      <c r="E491" s="1" t="s">
        <v>38</v>
      </c>
      <c r="F491" s="1" t="s">
        <v>39</v>
      </c>
      <c r="G491" s="2">
        <v>-875</v>
      </c>
      <c r="H491" s="2">
        <v>6007941.6399999997</v>
      </c>
      <c r="I491" s="1" t="s">
        <v>40</v>
      </c>
      <c r="J491" s="1" t="s">
        <v>41</v>
      </c>
      <c r="K491" s="1" t="s">
        <v>961</v>
      </c>
      <c r="L491" s="1" t="s">
        <v>39</v>
      </c>
      <c r="M491" s="1" t="s">
        <v>39</v>
      </c>
      <c r="N491" s="1" t="s">
        <v>43</v>
      </c>
    </row>
    <row r="492" spans="1:14" x14ac:dyDescent="0.25">
      <c r="A492" s="1" t="s">
        <v>962</v>
      </c>
      <c r="B492" s="1" t="s">
        <v>963</v>
      </c>
      <c r="C492" s="1" t="s">
        <v>964</v>
      </c>
      <c r="D492" s="1" t="s">
        <v>37</v>
      </c>
      <c r="E492" s="1" t="s">
        <v>38</v>
      </c>
      <c r="F492" s="1" t="s">
        <v>39</v>
      </c>
      <c r="G492" s="2">
        <v>-3</v>
      </c>
      <c r="H492" s="2">
        <v>6008816.6399999997</v>
      </c>
      <c r="I492" s="1" t="s">
        <v>40</v>
      </c>
      <c r="J492" s="1" t="s">
        <v>41</v>
      </c>
      <c r="K492" s="1" t="s">
        <v>42</v>
      </c>
      <c r="L492" s="1" t="s">
        <v>39</v>
      </c>
      <c r="M492" s="1" t="s">
        <v>39</v>
      </c>
      <c r="N492" s="1" t="s">
        <v>43</v>
      </c>
    </row>
    <row r="493" spans="1:14" x14ac:dyDescent="0.25">
      <c r="A493" s="1" t="s">
        <v>962</v>
      </c>
      <c r="B493" s="1" t="s">
        <v>963</v>
      </c>
      <c r="C493" s="1" t="s">
        <v>964</v>
      </c>
      <c r="D493" s="1" t="s">
        <v>965</v>
      </c>
      <c r="E493" s="1" t="s">
        <v>38</v>
      </c>
      <c r="F493" s="1" t="s">
        <v>39</v>
      </c>
      <c r="G493" s="2">
        <v>-80</v>
      </c>
      <c r="H493" s="2">
        <v>6008819.6399999997</v>
      </c>
      <c r="I493" s="1" t="s">
        <v>40</v>
      </c>
      <c r="J493" s="1" t="s">
        <v>41</v>
      </c>
      <c r="K493" s="1" t="s">
        <v>966</v>
      </c>
      <c r="L493" s="1" t="s">
        <v>39</v>
      </c>
      <c r="M493" s="1" t="s">
        <v>39</v>
      </c>
      <c r="N493" s="1" t="s">
        <v>43</v>
      </c>
    </row>
    <row r="494" spans="1:14" x14ac:dyDescent="0.25">
      <c r="A494" s="1" t="s">
        <v>967</v>
      </c>
      <c r="B494" s="1" t="s">
        <v>968</v>
      </c>
      <c r="C494" s="1" t="s">
        <v>968</v>
      </c>
      <c r="D494" s="1" t="s">
        <v>48</v>
      </c>
      <c r="E494" s="1" t="s">
        <v>38</v>
      </c>
      <c r="F494" s="1" t="s">
        <v>39</v>
      </c>
      <c r="G494" s="2">
        <v>-8</v>
      </c>
      <c r="H494" s="2">
        <v>6008899.6399999997</v>
      </c>
      <c r="I494" s="1" t="s">
        <v>40</v>
      </c>
      <c r="J494" s="1" t="s">
        <v>49</v>
      </c>
      <c r="K494" s="1" t="s">
        <v>42</v>
      </c>
      <c r="L494" s="1" t="s">
        <v>39</v>
      </c>
      <c r="M494" s="1" t="s">
        <v>39</v>
      </c>
      <c r="N494" s="1" t="s">
        <v>43</v>
      </c>
    </row>
    <row r="495" spans="1:14" x14ac:dyDescent="0.25">
      <c r="A495" s="1" t="s">
        <v>967</v>
      </c>
      <c r="B495" s="1" t="s">
        <v>968</v>
      </c>
      <c r="C495" s="1" t="s">
        <v>968</v>
      </c>
      <c r="D495" s="1" t="s">
        <v>969</v>
      </c>
      <c r="E495" s="1" t="s">
        <v>38</v>
      </c>
      <c r="F495" s="1" t="s">
        <v>39</v>
      </c>
      <c r="G495" s="2">
        <v>-450</v>
      </c>
      <c r="H495" s="2">
        <v>6008907.6399999997</v>
      </c>
      <c r="I495" s="1" t="s">
        <v>40</v>
      </c>
      <c r="J495" s="1" t="s">
        <v>49</v>
      </c>
      <c r="K495" s="1" t="s">
        <v>970</v>
      </c>
      <c r="L495" s="1" t="s">
        <v>39</v>
      </c>
      <c r="M495" s="1" t="s">
        <v>971</v>
      </c>
      <c r="N495" s="1" t="s">
        <v>43</v>
      </c>
    </row>
    <row r="496" spans="1:14" x14ac:dyDescent="0.25">
      <c r="A496" s="1" t="s">
        <v>972</v>
      </c>
      <c r="B496" s="1" t="s">
        <v>973</v>
      </c>
      <c r="C496" s="1" t="s">
        <v>973</v>
      </c>
      <c r="D496" s="1" t="s">
        <v>37</v>
      </c>
      <c r="E496" s="1" t="s">
        <v>38</v>
      </c>
      <c r="F496" s="1" t="s">
        <v>39</v>
      </c>
      <c r="G496" s="2">
        <v>-68</v>
      </c>
      <c r="H496" s="2">
        <v>6009357.6399999997</v>
      </c>
      <c r="I496" s="1" t="s">
        <v>40</v>
      </c>
      <c r="J496" s="1" t="s">
        <v>41</v>
      </c>
      <c r="K496" s="1" t="s">
        <v>42</v>
      </c>
      <c r="L496" s="1" t="s">
        <v>39</v>
      </c>
      <c r="M496" s="1" t="s">
        <v>39</v>
      </c>
      <c r="N496" s="1" t="s">
        <v>43</v>
      </c>
    </row>
    <row r="497" spans="1:14" x14ac:dyDescent="0.25">
      <c r="A497" s="1" t="s">
        <v>972</v>
      </c>
      <c r="B497" s="1" t="s">
        <v>973</v>
      </c>
      <c r="C497" s="1" t="s">
        <v>973</v>
      </c>
      <c r="D497" s="1" t="s">
        <v>974</v>
      </c>
      <c r="E497" s="1" t="s">
        <v>38</v>
      </c>
      <c r="F497" s="1" t="s">
        <v>39</v>
      </c>
      <c r="G497" s="2">
        <v>-17688</v>
      </c>
      <c r="H497" s="2">
        <v>6009425.6399999997</v>
      </c>
      <c r="I497" s="1" t="s">
        <v>40</v>
      </c>
      <c r="J497" s="1" t="s">
        <v>41</v>
      </c>
      <c r="K497" s="1" t="s">
        <v>975</v>
      </c>
      <c r="L497" s="1" t="s">
        <v>39</v>
      </c>
      <c r="M497" s="1" t="s">
        <v>39</v>
      </c>
      <c r="N497" s="1" t="s">
        <v>43</v>
      </c>
    </row>
    <row r="498" spans="1:14" x14ac:dyDescent="0.25">
      <c r="A498" s="1" t="s">
        <v>976</v>
      </c>
      <c r="B498" s="1" t="s">
        <v>977</v>
      </c>
      <c r="C498" s="1" t="s">
        <v>977</v>
      </c>
      <c r="D498" s="1" t="s">
        <v>37</v>
      </c>
      <c r="E498" s="1" t="s">
        <v>38</v>
      </c>
      <c r="F498" s="1" t="s">
        <v>39</v>
      </c>
      <c r="G498" s="2">
        <v>-3</v>
      </c>
      <c r="H498" s="2">
        <v>6027113.6399999997</v>
      </c>
      <c r="I498" s="1" t="s">
        <v>40</v>
      </c>
      <c r="J498" s="1" t="s">
        <v>41</v>
      </c>
      <c r="K498" s="1" t="s">
        <v>42</v>
      </c>
      <c r="L498" s="1" t="s">
        <v>39</v>
      </c>
      <c r="M498" s="1" t="s">
        <v>39</v>
      </c>
      <c r="N498" s="1" t="s">
        <v>43</v>
      </c>
    </row>
    <row r="499" spans="1:14" x14ac:dyDescent="0.25">
      <c r="A499" s="1" t="s">
        <v>976</v>
      </c>
      <c r="B499" s="1" t="s">
        <v>977</v>
      </c>
      <c r="C499" s="1" t="s">
        <v>977</v>
      </c>
      <c r="D499" s="1" t="s">
        <v>978</v>
      </c>
      <c r="E499" s="1" t="s">
        <v>38</v>
      </c>
      <c r="F499" s="1" t="s">
        <v>39</v>
      </c>
      <c r="G499" s="2">
        <v>-65</v>
      </c>
      <c r="H499" s="2">
        <v>6027116.6399999997</v>
      </c>
      <c r="I499" s="1" t="s">
        <v>40</v>
      </c>
      <c r="J499" s="1" t="s">
        <v>41</v>
      </c>
      <c r="K499" s="1" t="s">
        <v>979</v>
      </c>
      <c r="L499" s="1" t="s">
        <v>39</v>
      </c>
      <c r="M499" s="1" t="s">
        <v>39</v>
      </c>
      <c r="N499" s="1" t="s">
        <v>43</v>
      </c>
    </row>
    <row r="500" spans="1:14" x14ac:dyDescent="0.25">
      <c r="A500" s="1" t="s">
        <v>980</v>
      </c>
      <c r="B500" s="1" t="s">
        <v>981</v>
      </c>
      <c r="C500" s="1" t="s">
        <v>982</v>
      </c>
      <c r="D500" s="1" t="s">
        <v>983</v>
      </c>
      <c r="E500" s="1" t="s">
        <v>38</v>
      </c>
      <c r="F500" s="1" t="s">
        <v>39</v>
      </c>
      <c r="G500" s="2">
        <v>-4000</v>
      </c>
      <c r="H500" s="2">
        <v>6027181.6399999997</v>
      </c>
      <c r="I500" s="1" t="s">
        <v>40</v>
      </c>
      <c r="J500" s="1" t="s">
        <v>49</v>
      </c>
      <c r="K500" s="1" t="s">
        <v>880</v>
      </c>
      <c r="L500" s="1" t="s">
        <v>39</v>
      </c>
      <c r="M500" s="1" t="s">
        <v>984</v>
      </c>
      <c r="N500" s="1" t="s">
        <v>43</v>
      </c>
    </row>
    <row r="501" spans="1:14" x14ac:dyDescent="0.25">
      <c r="A501" s="1" t="s">
        <v>980</v>
      </c>
      <c r="B501" s="1" t="s">
        <v>981</v>
      </c>
      <c r="C501" s="1" t="s">
        <v>982</v>
      </c>
      <c r="D501" s="1" t="s">
        <v>48</v>
      </c>
      <c r="E501" s="1" t="s">
        <v>38</v>
      </c>
      <c r="F501" s="1" t="s">
        <v>39</v>
      </c>
      <c r="G501" s="2">
        <v>-39</v>
      </c>
      <c r="H501" s="2">
        <v>6031181.6399999997</v>
      </c>
      <c r="I501" s="1" t="s">
        <v>40</v>
      </c>
      <c r="J501" s="1" t="s">
        <v>49</v>
      </c>
      <c r="K501" s="1" t="s">
        <v>42</v>
      </c>
      <c r="L501" s="1" t="s">
        <v>39</v>
      </c>
      <c r="M501" s="1" t="s">
        <v>39</v>
      </c>
      <c r="N501" s="1" t="s">
        <v>43</v>
      </c>
    </row>
    <row r="502" spans="1:14" x14ac:dyDescent="0.25">
      <c r="A502" s="1" t="s">
        <v>985</v>
      </c>
      <c r="B502" s="1" t="s">
        <v>986</v>
      </c>
      <c r="C502" s="1" t="s">
        <v>986</v>
      </c>
      <c r="D502" s="1" t="s">
        <v>37</v>
      </c>
      <c r="E502" s="1" t="s">
        <v>38</v>
      </c>
      <c r="F502" s="1" t="s">
        <v>39</v>
      </c>
      <c r="G502" s="2">
        <v>-25</v>
      </c>
      <c r="H502" s="2">
        <v>6031220.6399999997</v>
      </c>
      <c r="I502" s="1" t="s">
        <v>40</v>
      </c>
      <c r="J502" s="1" t="s">
        <v>41</v>
      </c>
      <c r="K502" s="1" t="s">
        <v>42</v>
      </c>
      <c r="L502" s="1" t="s">
        <v>39</v>
      </c>
      <c r="M502" s="1" t="s">
        <v>39</v>
      </c>
      <c r="N502" s="1" t="s">
        <v>43</v>
      </c>
    </row>
    <row r="503" spans="1:14" x14ac:dyDescent="0.25">
      <c r="A503" s="1" t="s">
        <v>985</v>
      </c>
      <c r="B503" s="1" t="s">
        <v>986</v>
      </c>
      <c r="C503" s="1" t="s">
        <v>986</v>
      </c>
      <c r="D503" s="1" t="s">
        <v>987</v>
      </c>
      <c r="E503" s="1" t="s">
        <v>38</v>
      </c>
      <c r="F503" s="1" t="s">
        <v>39</v>
      </c>
      <c r="G503" s="2">
        <v>-2000</v>
      </c>
      <c r="H503" s="2">
        <v>6031245.6399999997</v>
      </c>
      <c r="I503" s="1" t="s">
        <v>40</v>
      </c>
      <c r="J503" s="1" t="s">
        <v>41</v>
      </c>
      <c r="K503" s="1" t="s">
        <v>988</v>
      </c>
      <c r="L503" s="1" t="s">
        <v>39</v>
      </c>
      <c r="M503" s="1" t="s">
        <v>39</v>
      </c>
      <c r="N503" s="1" t="s">
        <v>43</v>
      </c>
    </row>
    <row r="504" spans="1:14" x14ac:dyDescent="0.25">
      <c r="A504" s="1" t="s">
        <v>989</v>
      </c>
      <c r="B504" s="1" t="s">
        <v>990</v>
      </c>
      <c r="C504" s="1" t="s">
        <v>991</v>
      </c>
      <c r="D504" s="1" t="s">
        <v>992</v>
      </c>
      <c r="E504" s="1" t="s">
        <v>38</v>
      </c>
      <c r="F504" s="1" t="s">
        <v>39</v>
      </c>
      <c r="G504" s="2">
        <v>-100</v>
      </c>
      <c r="H504" s="2">
        <v>6033245.6399999997</v>
      </c>
      <c r="I504" s="1" t="s">
        <v>40</v>
      </c>
      <c r="J504" s="1" t="s">
        <v>49</v>
      </c>
      <c r="K504" s="1" t="s">
        <v>220</v>
      </c>
      <c r="L504" s="1" t="s">
        <v>39</v>
      </c>
      <c r="M504" s="1" t="s">
        <v>993</v>
      </c>
      <c r="N504" s="1" t="s">
        <v>43</v>
      </c>
    </row>
    <row r="505" spans="1:14" x14ac:dyDescent="0.25">
      <c r="A505" s="1" t="s">
        <v>994</v>
      </c>
      <c r="B505" s="1" t="s">
        <v>995</v>
      </c>
      <c r="C505" s="1" t="s">
        <v>995</v>
      </c>
      <c r="D505" s="1" t="s">
        <v>996</v>
      </c>
      <c r="E505" s="1" t="s">
        <v>38</v>
      </c>
      <c r="F505" s="1" t="s">
        <v>39</v>
      </c>
      <c r="G505" s="2">
        <v>-35600000</v>
      </c>
      <c r="H505" s="2">
        <v>6033345.6399999997</v>
      </c>
      <c r="I505" s="1" t="s">
        <v>40</v>
      </c>
      <c r="J505" s="1" t="s">
        <v>997</v>
      </c>
      <c r="K505" s="1" t="s">
        <v>880</v>
      </c>
      <c r="L505" s="1" t="s">
        <v>39</v>
      </c>
      <c r="M505" s="1" t="s">
        <v>998</v>
      </c>
      <c r="N505" s="1" t="s">
        <v>43</v>
      </c>
    </row>
    <row r="506" spans="1:14" x14ac:dyDescent="0.25">
      <c r="A506" s="1" t="s">
        <v>999</v>
      </c>
      <c r="B506" s="1" t="s">
        <v>1000</v>
      </c>
      <c r="C506" s="1" t="s">
        <v>1000</v>
      </c>
      <c r="D506" s="1" t="s">
        <v>1001</v>
      </c>
      <c r="E506" s="1" t="s">
        <v>38</v>
      </c>
      <c r="F506" s="2">
        <v>13632763.25</v>
      </c>
      <c r="G506" s="1" t="s">
        <v>39</v>
      </c>
      <c r="H506" s="2">
        <v>41633345.640000001</v>
      </c>
      <c r="I506" s="1" t="s">
        <v>40</v>
      </c>
      <c r="J506" s="1" t="s">
        <v>1001</v>
      </c>
      <c r="K506" s="1" t="s">
        <v>157</v>
      </c>
      <c r="L506" s="1" t="s">
        <v>39</v>
      </c>
      <c r="M506" s="1" t="s">
        <v>39</v>
      </c>
      <c r="N506" s="1" t="s">
        <v>43</v>
      </c>
    </row>
    <row r="507" spans="1:14" x14ac:dyDescent="0.25">
      <c r="A507" s="1" t="s">
        <v>1002</v>
      </c>
      <c r="B507" s="1" t="s">
        <v>1003</v>
      </c>
      <c r="C507" s="1" t="s">
        <v>1003</v>
      </c>
      <c r="D507" s="1" t="s">
        <v>37</v>
      </c>
      <c r="E507" s="1" t="s">
        <v>38</v>
      </c>
      <c r="F507" s="1" t="s">
        <v>39</v>
      </c>
      <c r="G507" s="2">
        <v>-48</v>
      </c>
      <c r="H507" s="2">
        <v>28000582.390000001</v>
      </c>
      <c r="I507" s="1" t="s">
        <v>40</v>
      </c>
      <c r="J507" s="1" t="s">
        <v>41</v>
      </c>
      <c r="K507" s="1" t="s">
        <v>42</v>
      </c>
      <c r="L507" s="1" t="s">
        <v>39</v>
      </c>
      <c r="M507" s="1" t="s">
        <v>39</v>
      </c>
      <c r="N507" s="1" t="s">
        <v>43</v>
      </c>
    </row>
    <row r="508" spans="1:14" x14ac:dyDescent="0.25">
      <c r="A508" s="1" t="s">
        <v>1002</v>
      </c>
      <c r="B508" s="1" t="s">
        <v>1003</v>
      </c>
      <c r="C508" s="1" t="s">
        <v>1003</v>
      </c>
      <c r="D508" s="1" t="s">
        <v>1004</v>
      </c>
      <c r="E508" s="1" t="s">
        <v>38</v>
      </c>
      <c r="F508" s="1" t="s">
        <v>39</v>
      </c>
      <c r="G508" s="2">
        <v>-5920</v>
      </c>
      <c r="H508" s="2">
        <v>28000630.390000001</v>
      </c>
      <c r="I508" s="1" t="s">
        <v>40</v>
      </c>
      <c r="J508" s="1" t="s">
        <v>41</v>
      </c>
      <c r="K508" s="1" t="s">
        <v>1005</v>
      </c>
      <c r="L508" s="1" t="s">
        <v>39</v>
      </c>
      <c r="M508" s="1" t="s">
        <v>39</v>
      </c>
      <c r="N508" s="1" t="s">
        <v>43</v>
      </c>
    </row>
    <row r="509" spans="1:14" x14ac:dyDescent="0.25">
      <c r="A509" s="1" t="s">
        <v>1006</v>
      </c>
      <c r="B509" s="1" t="s">
        <v>1007</v>
      </c>
      <c r="C509" s="1" t="s">
        <v>1007</v>
      </c>
      <c r="D509" s="1" t="s">
        <v>37</v>
      </c>
      <c r="E509" s="1" t="s">
        <v>38</v>
      </c>
      <c r="F509" s="1" t="s">
        <v>39</v>
      </c>
      <c r="G509" s="2">
        <v>-68</v>
      </c>
      <c r="H509" s="2">
        <v>28006550.390000001</v>
      </c>
      <c r="I509" s="1" t="s">
        <v>40</v>
      </c>
      <c r="J509" s="1" t="s">
        <v>41</v>
      </c>
      <c r="K509" s="1" t="s">
        <v>42</v>
      </c>
      <c r="L509" s="1" t="s">
        <v>39</v>
      </c>
      <c r="M509" s="1" t="s">
        <v>39</v>
      </c>
      <c r="N509" s="1" t="s">
        <v>43</v>
      </c>
    </row>
    <row r="510" spans="1:14" x14ac:dyDescent="0.25">
      <c r="A510" s="1" t="s">
        <v>1006</v>
      </c>
      <c r="B510" s="1" t="s">
        <v>1007</v>
      </c>
      <c r="C510" s="1" t="s">
        <v>1007</v>
      </c>
      <c r="D510" s="1" t="s">
        <v>1008</v>
      </c>
      <c r="E510" s="1" t="s">
        <v>38</v>
      </c>
      <c r="F510" s="1" t="s">
        <v>39</v>
      </c>
      <c r="G510" s="2">
        <v>-15300</v>
      </c>
      <c r="H510" s="2">
        <v>28006618.390000001</v>
      </c>
      <c r="I510" s="1" t="s">
        <v>40</v>
      </c>
      <c r="J510" s="1" t="s">
        <v>41</v>
      </c>
      <c r="K510" s="1" t="s">
        <v>1009</v>
      </c>
      <c r="L510" s="1" t="s">
        <v>39</v>
      </c>
      <c r="M510" s="1" t="s">
        <v>39</v>
      </c>
      <c r="N510" s="1" t="s">
        <v>43</v>
      </c>
    </row>
    <row r="511" spans="1:14" x14ac:dyDescent="0.25">
      <c r="A511" s="1" t="s">
        <v>1010</v>
      </c>
      <c r="B511" s="1" t="s">
        <v>1011</v>
      </c>
      <c r="C511" s="1" t="s">
        <v>1011</v>
      </c>
      <c r="D511" s="1" t="s">
        <v>48</v>
      </c>
      <c r="E511" s="1" t="s">
        <v>38</v>
      </c>
      <c r="F511" s="1" t="s">
        <v>39</v>
      </c>
      <c r="G511" s="2">
        <v>-30</v>
      </c>
      <c r="H511" s="2">
        <v>28021918.390000001</v>
      </c>
      <c r="I511" s="1" t="s">
        <v>40</v>
      </c>
      <c r="J511" s="1" t="s">
        <v>49</v>
      </c>
      <c r="K511" s="1" t="s">
        <v>42</v>
      </c>
      <c r="L511" s="1" t="s">
        <v>39</v>
      </c>
      <c r="M511" s="1" t="s">
        <v>39</v>
      </c>
      <c r="N511" s="1" t="s">
        <v>43</v>
      </c>
    </row>
    <row r="512" spans="1:14" x14ac:dyDescent="0.25">
      <c r="A512" s="1" t="s">
        <v>1010</v>
      </c>
      <c r="B512" s="1" t="s">
        <v>1011</v>
      </c>
      <c r="C512" s="1" t="s">
        <v>1011</v>
      </c>
      <c r="D512" s="1" t="s">
        <v>1012</v>
      </c>
      <c r="E512" s="1" t="s">
        <v>38</v>
      </c>
      <c r="F512" s="1" t="s">
        <v>39</v>
      </c>
      <c r="G512" s="2">
        <v>-2763</v>
      </c>
      <c r="H512" s="2">
        <v>28021948.390000001</v>
      </c>
      <c r="I512" s="1" t="s">
        <v>40</v>
      </c>
      <c r="J512" s="1" t="s">
        <v>49</v>
      </c>
      <c r="K512" s="1" t="s">
        <v>1013</v>
      </c>
      <c r="L512" s="1" t="s">
        <v>39</v>
      </c>
      <c r="M512" s="1" t="s">
        <v>1014</v>
      </c>
      <c r="N512" s="1" t="s">
        <v>43</v>
      </c>
    </row>
    <row r="513" spans="1:14" x14ac:dyDescent="0.25">
      <c r="A513" s="1" t="s">
        <v>1015</v>
      </c>
      <c r="B513" s="1" t="s">
        <v>1011</v>
      </c>
      <c r="C513" s="1" t="s">
        <v>1011</v>
      </c>
      <c r="D513" s="1" t="s">
        <v>48</v>
      </c>
      <c r="E513" s="1" t="s">
        <v>38</v>
      </c>
      <c r="F513" s="1" t="s">
        <v>39</v>
      </c>
      <c r="G513" s="2">
        <v>-68</v>
      </c>
      <c r="H513" s="2">
        <v>28024711.390000001</v>
      </c>
      <c r="I513" s="1" t="s">
        <v>40</v>
      </c>
      <c r="J513" s="1" t="s">
        <v>49</v>
      </c>
      <c r="K513" s="1" t="s">
        <v>42</v>
      </c>
      <c r="L513" s="1" t="s">
        <v>39</v>
      </c>
      <c r="M513" s="1" t="s">
        <v>39</v>
      </c>
      <c r="N513" s="1" t="s">
        <v>43</v>
      </c>
    </row>
    <row r="514" spans="1:14" x14ac:dyDescent="0.25">
      <c r="A514" s="1" t="s">
        <v>1015</v>
      </c>
      <c r="B514" s="1" t="s">
        <v>1011</v>
      </c>
      <c r="C514" s="1" t="s">
        <v>1011</v>
      </c>
      <c r="D514" s="1" t="s">
        <v>1016</v>
      </c>
      <c r="E514" s="1" t="s">
        <v>38</v>
      </c>
      <c r="F514" s="1" t="s">
        <v>39</v>
      </c>
      <c r="G514" s="2">
        <v>-15332</v>
      </c>
      <c r="H514" s="2">
        <v>28024779.390000001</v>
      </c>
      <c r="I514" s="1" t="s">
        <v>40</v>
      </c>
      <c r="J514" s="1" t="s">
        <v>49</v>
      </c>
      <c r="K514" s="1" t="s">
        <v>1013</v>
      </c>
      <c r="L514" s="1" t="s">
        <v>39</v>
      </c>
      <c r="M514" s="1" t="s">
        <v>1017</v>
      </c>
      <c r="N514" s="1" t="s">
        <v>43</v>
      </c>
    </row>
    <row r="515" spans="1:14" x14ac:dyDescent="0.25">
      <c r="A515" s="1" t="s">
        <v>1018</v>
      </c>
      <c r="B515" s="1" t="s">
        <v>1019</v>
      </c>
      <c r="C515" s="1" t="s">
        <v>1019</v>
      </c>
      <c r="D515" s="1" t="s">
        <v>48</v>
      </c>
      <c r="E515" s="1" t="s">
        <v>38</v>
      </c>
      <c r="F515" s="1" t="s">
        <v>39</v>
      </c>
      <c r="G515" s="2">
        <v>-39</v>
      </c>
      <c r="H515" s="2">
        <v>28040111.390000001</v>
      </c>
      <c r="I515" s="1" t="s">
        <v>40</v>
      </c>
      <c r="J515" s="1" t="s">
        <v>49</v>
      </c>
      <c r="K515" s="1" t="s">
        <v>42</v>
      </c>
      <c r="L515" s="1" t="s">
        <v>39</v>
      </c>
      <c r="M515" s="1" t="s">
        <v>39</v>
      </c>
      <c r="N515" s="1" t="s">
        <v>43</v>
      </c>
    </row>
    <row r="516" spans="1:14" x14ac:dyDescent="0.25">
      <c r="A516" s="1" t="s">
        <v>1018</v>
      </c>
      <c r="B516" s="1" t="s">
        <v>1019</v>
      </c>
      <c r="C516" s="1" t="s">
        <v>1019</v>
      </c>
      <c r="D516" s="1" t="s">
        <v>1020</v>
      </c>
      <c r="E516" s="1" t="s">
        <v>38</v>
      </c>
      <c r="F516" s="1" t="s">
        <v>39</v>
      </c>
      <c r="G516" s="2">
        <v>-4219</v>
      </c>
      <c r="H516" s="2">
        <v>28040150.390000001</v>
      </c>
      <c r="I516" s="1" t="s">
        <v>40</v>
      </c>
      <c r="J516" s="1" t="s">
        <v>49</v>
      </c>
      <c r="K516" s="1" t="s">
        <v>1013</v>
      </c>
      <c r="L516" s="1" t="s">
        <v>39</v>
      </c>
      <c r="M516" s="1" t="s">
        <v>1021</v>
      </c>
      <c r="N516" s="1" t="s">
        <v>43</v>
      </c>
    </row>
    <row r="517" spans="1:14" x14ac:dyDescent="0.25">
      <c r="A517" s="1" t="s">
        <v>1022</v>
      </c>
      <c r="B517" s="1" t="s">
        <v>1019</v>
      </c>
      <c r="C517" s="1" t="s">
        <v>1019</v>
      </c>
      <c r="D517" s="1" t="s">
        <v>48</v>
      </c>
      <c r="E517" s="1" t="s">
        <v>38</v>
      </c>
      <c r="F517" s="1" t="s">
        <v>39</v>
      </c>
      <c r="G517" s="2">
        <v>-39</v>
      </c>
      <c r="H517" s="2">
        <v>28044369.390000001</v>
      </c>
      <c r="I517" s="1" t="s">
        <v>40</v>
      </c>
      <c r="J517" s="1" t="s">
        <v>49</v>
      </c>
      <c r="K517" s="1" t="s">
        <v>42</v>
      </c>
      <c r="L517" s="1" t="s">
        <v>39</v>
      </c>
      <c r="M517" s="1" t="s">
        <v>39</v>
      </c>
      <c r="N517" s="1" t="s">
        <v>43</v>
      </c>
    </row>
    <row r="518" spans="1:14" x14ac:dyDescent="0.25">
      <c r="A518" s="1" t="s">
        <v>1022</v>
      </c>
      <c r="B518" s="1" t="s">
        <v>1019</v>
      </c>
      <c r="C518" s="1" t="s">
        <v>1019</v>
      </c>
      <c r="D518" s="1" t="s">
        <v>1023</v>
      </c>
      <c r="E518" s="1" t="s">
        <v>38</v>
      </c>
      <c r="F518" s="1" t="s">
        <v>39</v>
      </c>
      <c r="G518" s="2">
        <v>-3762</v>
      </c>
      <c r="H518" s="2">
        <v>28044408.390000001</v>
      </c>
      <c r="I518" s="1" t="s">
        <v>40</v>
      </c>
      <c r="J518" s="1" t="s">
        <v>49</v>
      </c>
      <c r="K518" s="1" t="s">
        <v>1013</v>
      </c>
      <c r="L518" s="1" t="s">
        <v>39</v>
      </c>
      <c r="M518" s="1" t="s">
        <v>1024</v>
      </c>
      <c r="N518" s="1" t="s">
        <v>43</v>
      </c>
    </row>
    <row r="519" spans="1:14" x14ac:dyDescent="0.25">
      <c r="A519" s="1" t="s">
        <v>1025</v>
      </c>
      <c r="B519" s="1" t="s">
        <v>1019</v>
      </c>
      <c r="C519" s="1" t="s">
        <v>1019</v>
      </c>
      <c r="D519" s="1" t="s">
        <v>48</v>
      </c>
      <c r="E519" s="1" t="s">
        <v>38</v>
      </c>
      <c r="F519" s="1" t="s">
        <v>39</v>
      </c>
      <c r="G519" s="2">
        <v>-8</v>
      </c>
      <c r="H519" s="2">
        <v>28048170.390000001</v>
      </c>
      <c r="I519" s="1" t="s">
        <v>40</v>
      </c>
      <c r="J519" s="1" t="s">
        <v>49</v>
      </c>
      <c r="K519" s="1" t="s">
        <v>42</v>
      </c>
      <c r="L519" s="1" t="s">
        <v>39</v>
      </c>
      <c r="M519" s="1" t="s">
        <v>39</v>
      </c>
      <c r="N519" s="1" t="s">
        <v>43</v>
      </c>
    </row>
    <row r="520" spans="1:14" x14ac:dyDescent="0.25">
      <c r="A520" s="1" t="s">
        <v>1025</v>
      </c>
      <c r="B520" s="1" t="s">
        <v>1019</v>
      </c>
      <c r="C520" s="1" t="s">
        <v>1019</v>
      </c>
      <c r="D520" s="1" t="s">
        <v>1026</v>
      </c>
      <c r="E520" s="1" t="s">
        <v>38</v>
      </c>
      <c r="F520" s="1" t="s">
        <v>39</v>
      </c>
      <c r="G520" s="2">
        <v>-372</v>
      </c>
      <c r="H520" s="2">
        <v>28048178.390000001</v>
      </c>
      <c r="I520" s="1" t="s">
        <v>40</v>
      </c>
      <c r="J520" s="1" t="s">
        <v>49</v>
      </c>
      <c r="K520" s="1" t="s">
        <v>1013</v>
      </c>
      <c r="L520" s="1" t="s">
        <v>39</v>
      </c>
      <c r="M520" s="1" t="s">
        <v>1027</v>
      </c>
      <c r="N520" s="1" t="s">
        <v>43</v>
      </c>
    </row>
    <row r="521" spans="1:14" x14ac:dyDescent="0.25">
      <c r="A521" s="1" t="s">
        <v>1028</v>
      </c>
      <c r="B521" s="1" t="s">
        <v>1019</v>
      </c>
      <c r="C521" s="1" t="s">
        <v>1029</v>
      </c>
      <c r="D521" s="1" t="s">
        <v>48</v>
      </c>
      <c r="E521" s="1" t="s">
        <v>38</v>
      </c>
      <c r="F521" s="1" t="s">
        <v>39</v>
      </c>
      <c r="G521" s="2">
        <v>-90</v>
      </c>
      <c r="H521" s="2">
        <v>28048550.390000001</v>
      </c>
      <c r="I521" s="1" t="s">
        <v>40</v>
      </c>
      <c r="J521" s="1" t="s">
        <v>49</v>
      </c>
      <c r="K521" s="1" t="s">
        <v>42</v>
      </c>
      <c r="L521" s="1" t="s">
        <v>39</v>
      </c>
      <c r="M521" s="1" t="s">
        <v>39</v>
      </c>
      <c r="N521" s="1" t="s">
        <v>43</v>
      </c>
    </row>
    <row r="522" spans="1:14" x14ac:dyDescent="0.25">
      <c r="A522" s="1" t="s">
        <v>1028</v>
      </c>
      <c r="B522" s="1" t="s">
        <v>1019</v>
      </c>
      <c r="C522" s="1" t="s">
        <v>1029</v>
      </c>
      <c r="D522" s="1" t="s">
        <v>1030</v>
      </c>
      <c r="E522" s="1" t="s">
        <v>38</v>
      </c>
      <c r="F522" s="1" t="s">
        <v>39</v>
      </c>
      <c r="G522" s="2">
        <v>-32230</v>
      </c>
      <c r="H522" s="2">
        <v>28048640.390000001</v>
      </c>
      <c r="I522" s="1" t="s">
        <v>40</v>
      </c>
      <c r="J522" s="1" t="s">
        <v>49</v>
      </c>
      <c r="K522" s="1" t="s">
        <v>1013</v>
      </c>
      <c r="L522" s="1" t="s">
        <v>39</v>
      </c>
      <c r="M522" s="1" t="s">
        <v>1031</v>
      </c>
      <c r="N522" s="1" t="s">
        <v>43</v>
      </c>
    </row>
    <row r="523" spans="1:14" x14ac:dyDescent="0.25">
      <c r="A523" s="1" t="s">
        <v>1032</v>
      </c>
      <c r="B523" s="1" t="s">
        <v>1029</v>
      </c>
      <c r="C523" s="1" t="s">
        <v>1033</v>
      </c>
      <c r="D523" s="1" t="s">
        <v>1034</v>
      </c>
      <c r="E523" s="1" t="s">
        <v>38</v>
      </c>
      <c r="F523" s="1" t="s">
        <v>39</v>
      </c>
      <c r="G523" s="2">
        <v>-6935</v>
      </c>
      <c r="H523" s="2">
        <v>28080870.390000001</v>
      </c>
      <c r="I523" s="1" t="s">
        <v>40</v>
      </c>
      <c r="J523" s="1" t="s">
        <v>49</v>
      </c>
      <c r="K523" s="1" t="s">
        <v>1035</v>
      </c>
      <c r="L523" s="1" t="s">
        <v>39</v>
      </c>
      <c r="M523" s="1" t="s">
        <v>1036</v>
      </c>
      <c r="N523" s="1" t="s">
        <v>43</v>
      </c>
    </row>
    <row r="524" spans="1:14" x14ac:dyDescent="0.25">
      <c r="A524" s="1" t="s">
        <v>1032</v>
      </c>
      <c r="B524" s="1" t="s">
        <v>1029</v>
      </c>
      <c r="C524" s="1" t="s">
        <v>1033</v>
      </c>
      <c r="D524" s="1" t="s">
        <v>48</v>
      </c>
      <c r="E524" s="1" t="s">
        <v>38</v>
      </c>
      <c r="F524" s="1" t="s">
        <v>39</v>
      </c>
      <c r="G524" s="2">
        <v>-48</v>
      </c>
      <c r="H524" s="2">
        <v>28087805.390000001</v>
      </c>
      <c r="I524" s="1" t="s">
        <v>40</v>
      </c>
      <c r="J524" s="1" t="s">
        <v>49</v>
      </c>
      <c r="K524" s="1" t="s">
        <v>42</v>
      </c>
      <c r="L524" s="1" t="s">
        <v>39</v>
      </c>
      <c r="M524" s="1" t="s">
        <v>39</v>
      </c>
      <c r="N524" s="1" t="s">
        <v>43</v>
      </c>
    </row>
    <row r="525" spans="1:14" x14ac:dyDescent="0.25">
      <c r="A525" s="1" t="s">
        <v>1037</v>
      </c>
      <c r="B525" s="1" t="s">
        <v>1029</v>
      </c>
      <c r="C525" s="1" t="s">
        <v>1029</v>
      </c>
      <c r="D525" s="1" t="s">
        <v>48</v>
      </c>
      <c r="E525" s="1" t="s">
        <v>38</v>
      </c>
      <c r="F525" s="1" t="s">
        <v>39</v>
      </c>
      <c r="G525" s="2">
        <v>-30</v>
      </c>
      <c r="H525" s="2">
        <v>28087853.390000001</v>
      </c>
      <c r="I525" s="1" t="s">
        <v>40</v>
      </c>
      <c r="J525" s="1" t="s">
        <v>49</v>
      </c>
      <c r="K525" s="1" t="s">
        <v>42</v>
      </c>
      <c r="L525" s="1" t="s">
        <v>39</v>
      </c>
      <c r="M525" s="1" t="s">
        <v>39</v>
      </c>
      <c r="N525" s="1" t="s">
        <v>43</v>
      </c>
    </row>
    <row r="526" spans="1:14" x14ac:dyDescent="0.25">
      <c r="A526" s="1" t="s">
        <v>1037</v>
      </c>
      <c r="B526" s="1" t="s">
        <v>1029</v>
      </c>
      <c r="C526" s="1" t="s">
        <v>1029</v>
      </c>
      <c r="D526" s="1" t="s">
        <v>1038</v>
      </c>
      <c r="E526" s="1" t="s">
        <v>38</v>
      </c>
      <c r="F526" s="1" t="s">
        <v>39</v>
      </c>
      <c r="G526" s="2">
        <v>-3288</v>
      </c>
      <c r="H526" s="2">
        <v>28087883.390000001</v>
      </c>
      <c r="I526" s="1" t="s">
        <v>40</v>
      </c>
      <c r="J526" s="1" t="s">
        <v>49</v>
      </c>
      <c r="K526" s="1" t="s">
        <v>1013</v>
      </c>
      <c r="L526" s="1" t="s">
        <v>39</v>
      </c>
      <c r="M526" s="1" t="s">
        <v>1039</v>
      </c>
      <c r="N526" s="1" t="s">
        <v>43</v>
      </c>
    </row>
    <row r="527" spans="1:14" x14ac:dyDescent="0.25">
      <c r="A527" s="1" t="s">
        <v>1040</v>
      </c>
      <c r="B527" s="1" t="s">
        <v>1033</v>
      </c>
      <c r="C527" s="1" t="s">
        <v>1033</v>
      </c>
      <c r="D527" s="1" t="s">
        <v>48</v>
      </c>
      <c r="E527" s="1" t="s">
        <v>38</v>
      </c>
      <c r="F527" s="1" t="s">
        <v>39</v>
      </c>
      <c r="G527" s="2">
        <v>-68</v>
      </c>
      <c r="H527" s="2">
        <v>28091171.390000001</v>
      </c>
      <c r="I527" s="1" t="s">
        <v>40</v>
      </c>
      <c r="J527" s="1" t="s">
        <v>49</v>
      </c>
      <c r="K527" s="1" t="s">
        <v>42</v>
      </c>
      <c r="L527" s="1" t="s">
        <v>39</v>
      </c>
      <c r="M527" s="1" t="s">
        <v>39</v>
      </c>
      <c r="N527" s="1" t="s">
        <v>43</v>
      </c>
    </row>
    <row r="528" spans="1:14" x14ac:dyDescent="0.25">
      <c r="A528" s="1" t="s">
        <v>1040</v>
      </c>
      <c r="B528" s="1" t="s">
        <v>1033</v>
      </c>
      <c r="C528" s="1" t="s">
        <v>1033</v>
      </c>
      <c r="D528" s="1" t="s">
        <v>1041</v>
      </c>
      <c r="E528" s="1" t="s">
        <v>38</v>
      </c>
      <c r="F528" s="1" t="s">
        <v>39</v>
      </c>
      <c r="G528" s="2">
        <v>-15239</v>
      </c>
      <c r="H528" s="2">
        <v>28091239.390000001</v>
      </c>
      <c r="I528" s="1" t="s">
        <v>40</v>
      </c>
      <c r="J528" s="1" t="s">
        <v>49</v>
      </c>
      <c r="K528" s="1" t="s">
        <v>1013</v>
      </c>
      <c r="L528" s="1" t="s">
        <v>39</v>
      </c>
      <c r="M528" s="1" t="s">
        <v>1042</v>
      </c>
      <c r="N528" s="1" t="s">
        <v>43</v>
      </c>
    </row>
    <row r="529" spans="1:14" x14ac:dyDescent="0.25">
      <c r="A529" s="1" t="s">
        <v>1043</v>
      </c>
      <c r="B529" s="1" t="s">
        <v>1033</v>
      </c>
      <c r="C529" s="1" t="s">
        <v>1033</v>
      </c>
      <c r="D529" s="1" t="s">
        <v>48</v>
      </c>
      <c r="E529" s="1" t="s">
        <v>38</v>
      </c>
      <c r="F529" s="1" t="s">
        <v>39</v>
      </c>
      <c r="G529" s="2">
        <v>-18</v>
      </c>
      <c r="H529" s="2">
        <v>28106478.390000001</v>
      </c>
      <c r="I529" s="1" t="s">
        <v>40</v>
      </c>
      <c r="J529" s="1" t="s">
        <v>49</v>
      </c>
      <c r="K529" s="1" t="s">
        <v>42</v>
      </c>
      <c r="L529" s="1" t="s">
        <v>39</v>
      </c>
      <c r="M529" s="1" t="s">
        <v>39</v>
      </c>
      <c r="N529" s="1" t="s">
        <v>43</v>
      </c>
    </row>
    <row r="530" spans="1:14" x14ac:dyDescent="0.25">
      <c r="A530" s="1" t="s">
        <v>1043</v>
      </c>
      <c r="B530" s="1" t="s">
        <v>1033</v>
      </c>
      <c r="C530" s="1" t="s">
        <v>1033</v>
      </c>
      <c r="D530" s="1" t="s">
        <v>1044</v>
      </c>
      <c r="E530" s="1" t="s">
        <v>38</v>
      </c>
      <c r="F530" s="1" t="s">
        <v>39</v>
      </c>
      <c r="G530" s="2">
        <v>-1500</v>
      </c>
      <c r="H530" s="2">
        <v>28106496.390000001</v>
      </c>
      <c r="I530" s="1" t="s">
        <v>40</v>
      </c>
      <c r="J530" s="1" t="s">
        <v>49</v>
      </c>
      <c r="K530" s="1" t="s">
        <v>1013</v>
      </c>
      <c r="L530" s="1" t="s">
        <v>39</v>
      </c>
      <c r="M530" s="1" t="s">
        <v>1045</v>
      </c>
      <c r="N530" s="1" t="s">
        <v>43</v>
      </c>
    </row>
    <row r="531" spans="1:14" x14ac:dyDescent="0.25">
      <c r="A531" s="1" t="s">
        <v>1046</v>
      </c>
      <c r="B531" s="1" t="s">
        <v>1047</v>
      </c>
      <c r="C531" s="1" t="s">
        <v>1047</v>
      </c>
      <c r="D531" s="1" t="s">
        <v>48</v>
      </c>
      <c r="E531" s="1" t="s">
        <v>38</v>
      </c>
      <c r="F531" s="1" t="s">
        <v>39</v>
      </c>
      <c r="G531" s="2">
        <v>-48</v>
      </c>
      <c r="H531" s="2">
        <v>28107996.390000001</v>
      </c>
      <c r="I531" s="1" t="s">
        <v>40</v>
      </c>
      <c r="J531" s="1" t="s">
        <v>49</v>
      </c>
      <c r="K531" s="1" t="s">
        <v>42</v>
      </c>
      <c r="L531" s="1" t="s">
        <v>39</v>
      </c>
      <c r="M531" s="1" t="s">
        <v>39</v>
      </c>
      <c r="N531" s="1" t="s">
        <v>43</v>
      </c>
    </row>
    <row r="532" spans="1:14" x14ac:dyDescent="0.25">
      <c r="A532" s="1" t="s">
        <v>1046</v>
      </c>
      <c r="B532" s="1" t="s">
        <v>1047</v>
      </c>
      <c r="C532" s="1" t="s">
        <v>1047</v>
      </c>
      <c r="D532" s="1" t="s">
        <v>1048</v>
      </c>
      <c r="E532" s="1" t="s">
        <v>38</v>
      </c>
      <c r="F532" s="1" t="s">
        <v>39</v>
      </c>
      <c r="G532" s="2">
        <v>-7076</v>
      </c>
      <c r="H532" s="2">
        <v>28108044.390000001</v>
      </c>
      <c r="I532" s="1" t="s">
        <v>40</v>
      </c>
      <c r="J532" s="1" t="s">
        <v>49</v>
      </c>
      <c r="K532" s="1" t="s">
        <v>1013</v>
      </c>
      <c r="L532" s="1" t="s">
        <v>39</v>
      </c>
      <c r="M532" s="1" t="s">
        <v>1049</v>
      </c>
      <c r="N532" s="1" t="s">
        <v>43</v>
      </c>
    </row>
    <row r="533" spans="1:14" x14ac:dyDescent="0.25">
      <c r="A533" s="1" t="s">
        <v>1050</v>
      </c>
      <c r="B533" s="1" t="s">
        <v>1047</v>
      </c>
      <c r="C533" s="1" t="s">
        <v>1047</v>
      </c>
      <c r="D533" s="1" t="s">
        <v>48</v>
      </c>
      <c r="E533" s="1" t="s">
        <v>38</v>
      </c>
      <c r="F533" s="1" t="s">
        <v>39</v>
      </c>
      <c r="G533" s="2">
        <v>-54</v>
      </c>
      <c r="H533" s="2">
        <v>28115120.390000001</v>
      </c>
      <c r="I533" s="1" t="s">
        <v>40</v>
      </c>
      <c r="J533" s="1" t="s">
        <v>49</v>
      </c>
      <c r="K533" s="1" t="s">
        <v>42</v>
      </c>
      <c r="L533" s="1" t="s">
        <v>39</v>
      </c>
      <c r="M533" s="1" t="s">
        <v>39</v>
      </c>
      <c r="N533" s="1" t="s">
        <v>43</v>
      </c>
    </row>
    <row r="534" spans="1:14" x14ac:dyDescent="0.25">
      <c r="A534" s="1" t="s">
        <v>1050</v>
      </c>
      <c r="B534" s="1" t="s">
        <v>1047</v>
      </c>
      <c r="C534" s="1" t="s">
        <v>1047</v>
      </c>
      <c r="D534" s="1" t="s">
        <v>1051</v>
      </c>
      <c r="E534" s="1" t="s">
        <v>38</v>
      </c>
      <c r="F534" s="1" t="s">
        <v>39</v>
      </c>
      <c r="G534" s="2">
        <v>-7503</v>
      </c>
      <c r="H534" s="2">
        <v>28115174.390000001</v>
      </c>
      <c r="I534" s="1" t="s">
        <v>40</v>
      </c>
      <c r="J534" s="1" t="s">
        <v>49</v>
      </c>
      <c r="K534" s="1" t="s">
        <v>1013</v>
      </c>
      <c r="L534" s="1" t="s">
        <v>39</v>
      </c>
      <c r="M534" s="1" t="s">
        <v>1052</v>
      </c>
      <c r="N534" s="1" t="s">
        <v>43</v>
      </c>
    </row>
    <row r="535" spans="1:14" x14ac:dyDescent="0.25">
      <c r="A535" s="1" t="s">
        <v>1053</v>
      </c>
      <c r="B535" s="1" t="s">
        <v>1047</v>
      </c>
      <c r="C535" s="1" t="s">
        <v>1047</v>
      </c>
      <c r="D535" s="1" t="s">
        <v>48</v>
      </c>
      <c r="E535" s="1" t="s">
        <v>38</v>
      </c>
      <c r="F535" s="1" t="s">
        <v>39</v>
      </c>
      <c r="G535" s="2">
        <v>-48</v>
      </c>
      <c r="H535" s="2">
        <v>28122677.390000001</v>
      </c>
      <c r="I535" s="1" t="s">
        <v>40</v>
      </c>
      <c r="J535" s="1" t="s">
        <v>49</v>
      </c>
      <c r="K535" s="1" t="s">
        <v>42</v>
      </c>
      <c r="L535" s="1" t="s">
        <v>39</v>
      </c>
      <c r="M535" s="1" t="s">
        <v>39</v>
      </c>
      <c r="N535" s="1" t="s">
        <v>43</v>
      </c>
    </row>
    <row r="536" spans="1:14" x14ac:dyDescent="0.25">
      <c r="A536" s="1" t="s">
        <v>1053</v>
      </c>
      <c r="B536" s="1" t="s">
        <v>1047</v>
      </c>
      <c r="C536" s="1" t="s">
        <v>1047</v>
      </c>
      <c r="D536" s="1" t="s">
        <v>1054</v>
      </c>
      <c r="E536" s="1" t="s">
        <v>38</v>
      </c>
      <c r="F536" s="1" t="s">
        <v>39</v>
      </c>
      <c r="G536" s="2">
        <v>-6784</v>
      </c>
      <c r="H536" s="2">
        <v>28122725.390000001</v>
      </c>
      <c r="I536" s="1" t="s">
        <v>40</v>
      </c>
      <c r="J536" s="1" t="s">
        <v>49</v>
      </c>
      <c r="K536" s="1" t="s">
        <v>1013</v>
      </c>
      <c r="L536" s="1" t="s">
        <v>39</v>
      </c>
      <c r="M536" s="1" t="s">
        <v>1055</v>
      </c>
      <c r="N536" s="1" t="s">
        <v>43</v>
      </c>
    </row>
    <row r="537" spans="1:14" x14ac:dyDescent="0.25">
      <c r="A537" s="1" t="s">
        <v>1056</v>
      </c>
      <c r="B537" s="1" t="s">
        <v>1047</v>
      </c>
      <c r="C537" s="1" t="s">
        <v>1047</v>
      </c>
      <c r="D537" s="1" t="s">
        <v>48</v>
      </c>
      <c r="E537" s="1" t="s">
        <v>38</v>
      </c>
      <c r="F537" s="1" t="s">
        <v>39</v>
      </c>
      <c r="G537" s="2">
        <v>-25</v>
      </c>
      <c r="H537" s="2">
        <v>28129509.390000001</v>
      </c>
      <c r="I537" s="1" t="s">
        <v>40</v>
      </c>
      <c r="J537" s="1" t="s">
        <v>49</v>
      </c>
      <c r="K537" s="1" t="s">
        <v>42</v>
      </c>
      <c r="L537" s="1" t="s">
        <v>39</v>
      </c>
      <c r="M537" s="1" t="s">
        <v>39</v>
      </c>
      <c r="N537" s="1" t="s">
        <v>43</v>
      </c>
    </row>
    <row r="538" spans="1:14" x14ac:dyDescent="0.25">
      <c r="A538" s="1" t="s">
        <v>1056</v>
      </c>
      <c r="B538" s="1" t="s">
        <v>1047</v>
      </c>
      <c r="C538" s="1" t="s">
        <v>1047</v>
      </c>
      <c r="D538" s="1" t="s">
        <v>1057</v>
      </c>
      <c r="E538" s="1" t="s">
        <v>38</v>
      </c>
      <c r="F538" s="1" t="s">
        <v>39</v>
      </c>
      <c r="G538" s="2">
        <v>-1765</v>
      </c>
      <c r="H538" s="2">
        <v>28129534.390000001</v>
      </c>
      <c r="I538" s="1" t="s">
        <v>40</v>
      </c>
      <c r="J538" s="1" t="s">
        <v>49</v>
      </c>
      <c r="K538" s="1" t="s">
        <v>1013</v>
      </c>
      <c r="L538" s="1" t="s">
        <v>39</v>
      </c>
      <c r="M538" s="1" t="s">
        <v>1058</v>
      </c>
      <c r="N538" s="1" t="s">
        <v>43</v>
      </c>
    </row>
    <row r="539" spans="1:14" x14ac:dyDescent="0.25">
      <c r="A539" s="1" t="s">
        <v>1059</v>
      </c>
      <c r="B539" s="1" t="s">
        <v>1047</v>
      </c>
      <c r="C539" s="1" t="s">
        <v>1060</v>
      </c>
      <c r="D539" s="1" t="s">
        <v>48</v>
      </c>
      <c r="E539" s="1" t="s">
        <v>38</v>
      </c>
      <c r="F539" s="1" t="s">
        <v>39</v>
      </c>
      <c r="G539" s="2">
        <v>-48</v>
      </c>
      <c r="H539" s="2">
        <v>28131299.390000001</v>
      </c>
      <c r="I539" s="1" t="s">
        <v>40</v>
      </c>
      <c r="J539" s="1" t="s">
        <v>49</v>
      </c>
      <c r="K539" s="1" t="s">
        <v>42</v>
      </c>
      <c r="L539" s="1" t="s">
        <v>39</v>
      </c>
      <c r="M539" s="1" t="s">
        <v>39</v>
      </c>
      <c r="N539" s="1" t="s">
        <v>43</v>
      </c>
    </row>
    <row r="540" spans="1:14" x14ac:dyDescent="0.25">
      <c r="A540" s="1" t="s">
        <v>1059</v>
      </c>
      <c r="B540" s="1" t="s">
        <v>1047</v>
      </c>
      <c r="C540" s="1" t="s">
        <v>1060</v>
      </c>
      <c r="D540" s="1" t="s">
        <v>1061</v>
      </c>
      <c r="E540" s="1" t="s">
        <v>38</v>
      </c>
      <c r="F540" s="1" t="s">
        <v>39</v>
      </c>
      <c r="G540" s="2">
        <v>-7408</v>
      </c>
      <c r="H540" s="2">
        <v>28131347.390000001</v>
      </c>
      <c r="I540" s="1" t="s">
        <v>40</v>
      </c>
      <c r="J540" s="1" t="s">
        <v>49</v>
      </c>
      <c r="K540" s="1" t="s">
        <v>1013</v>
      </c>
      <c r="L540" s="1" t="s">
        <v>39</v>
      </c>
      <c r="M540" s="1" t="s">
        <v>1062</v>
      </c>
      <c r="N540" s="1" t="s">
        <v>43</v>
      </c>
    </row>
    <row r="541" spans="1:14" x14ac:dyDescent="0.25">
      <c r="A541" s="1" t="s">
        <v>1063</v>
      </c>
      <c r="B541" s="1" t="s">
        <v>1060</v>
      </c>
      <c r="C541" s="1" t="s">
        <v>1060</v>
      </c>
      <c r="D541" s="1" t="s">
        <v>48</v>
      </c>
      <c r="E541" s="1" t="s">
        <v>38</v>
      </c>
      <c r="F541" s="1" t="s">
        <v>39</v>
      </c>
      <c r="G541" s="2">
        <v>-106</v>
      </c>
      <c r="H541" s="2">
        <v>28138755.390000001</v>
      </c>
      <c r="I541" s="1" t="s">
        <v>40</v>
      </c>
      <c r="J541" s="1" t="s">
        <v>49</v>
      </c>
      <c r="K541" s="1" t="s">
        <v>42</v>
      </c>
      <c r="L541" s="1" t="s">
        <v>39</v>
      </c>
      <c r="M541" s="1" t="s">
        <v>39</v>
      </c>
      <c r="N541" s="1" t="s">
        <v>43</v>
      </c>
    </row>
    <row r="542" spans="1:14" x14ac:dyDescent="0.25">
      <c r="A542" s="1" t="s">
        <v>1063</v>
      </c>
      <c r="B542" s="1" t="s">
        <v>1060</v>
      </c>
      <c r="C542" s="1" t="s">
        <v>1060</v>
      </c>
      <c r="D542" s="1" t="s">
        <v>1064</v>
      </c>
      <c r="E542" s="1" t="s">
        <v>38</v>
      </c>
      <c r="F542" s="1" t="s">
        <v>39</v>
      </c>
      <c r="G542" s="2">
        <v>-37690</v>
      </c>
      <c r="H542" s="2">
        <v>28138861.390000001</v>
      </c>
      <c r="I542" s="1" t="s">
        <v>40</v>
      </c>
      <c r="J542" s="1" t="s">
        <v>49</v>
      </c>
      <c r="K542" s="1" t="s">
        <v>1013</v>
      </c>
      <c r="L542" s="1" t="s">
        <v>39</v>
      </c>
      <c r="M542" s="1" t="s">
        <v>1065</v>
      </c>
      <c r="N542" s="1" t="s">
        <v>43</v>
      </c>
    </row>
    <row r="543" spans="1:14" x14ac:dyDescent="0.25">
      <c r="A543" s="1" t="s">
        <v>1066</v>
      </c>
      <c r="B543" s="1" t="s">
        <v>1060</v>
      </c>
      <c r="C543" s="1" t="s">
        <v>1060</v>
      </c>
      <c r="D543" s="1" t="s">
        <v>48</v>
      </c>
      <c r="E543" s="1" t="s">
        <v>38</v>
      </c>
      <c r="F543" s="1" t="s">
        <v>39</v>
      </c>
      <c r="G543" s="2">
        <v>-63</v>
      </c>
      <c r="H543" s="2">
        <v>28176551.390000001</v>
      </c>
      <c r="I543" s="1" t="s">
        <v>40</v>
      </c>
      <c r="J543" s="1" t="s">
        <v>49</v>
      </c>
      <c r="K543" s="1" t="s">
        <v>42</v>
      </c>
      <c r="L543" s="1" t="s">
        <v>39</v>
      </c>
      <c r="M543" s="1" t="s">
        <v>39</v>
      </c>
      <c r="N543" s="1" t="s">
        <v>43</v>
      </c>
    </row>
    <row r="544" spans="1:14" x14ac:dyDescent="0.25">
      <c r="A544" s="1" t="s">
        <v>1066</v>
      </c>
      <c r="B544" s="1" t="s">
        <v>1060</v>
      </c>
      <c r="C544" s="1" t="s">
        <v>1060</v>
      </c>
      <c r="D544" s="1" t="s">
        <v>1067</v>
      </c>
      <c r="E544" s="1" t="s">
        <v>38</v>
      </c>
      <c r="F544" s="1" t="s">
        <v>39</v>
      </c>
      <c r="G544" s="2">
        <v>-13001</v>
      </c>
      <c r="H544" s="2">
        <v>28176614.390000001</v>
      </c>
      <c r="I544" s="1" t="s">
        <v>40</v>
      </c>
      <c r="J544" s="1" t="s">
        <v>49</v>
      </c>
      <c r="K544" s="1" t="s">
        <v>1013</v>
      </c>
      <c r="L544" s="1" t="s">
        <v>39</v>
      </c>
      <c r="M544" s="1" t="s">
        <v>1068</v>
      </c>
      <c r="N544" s="1" t="s">
        <v>43</v>
      </c>
    </row>
    <row r="545" spans="1:14" x14ac:dyDescent="0.25">
      <c r="A545" s="1" t="s">
        <v>1069</v>
      </c>
      <c r="B545" s="1" t="s">
        <v>1060</v>
      </c>
      <c r="C545" s="1" t="s">
        <v>1060</v>
      </c>
      <c r="D545" s="1" t="s">
        <v>48</v>
      </c>
      <c r="E545" s="1" t="s">
        <v>38</v>
      </c>
      <c r="F545" s="1" t="s">
        <v>39</v>
      </c>
      <c r="G545" s="2">
        <v>-63</v>
      </c>
      <c r="H545" s="2">
        <v>28189615.390000001</v>
      </c>
      <c r="I545" s="1" t="s">
        <v>40</v>
      </c>
      <c r="J545" s="1" t="s">
        <v>49</v>
      </c>
      <c r="K545" s="1" t="s">
        <v>42</v>
      </c>
      <c r="L545" s="1" t="s">
        <v>39</v>
      </c>
      <c r="M545" s="1" t="s">
        <v>39</v>
      </c>
      <c r="N545" s="1" t="s">
        <v>43</v>
      </c>
    </row>
    <row r="546" spans="1:14" x14ac:dyDescent="0.25">
      <c r="A546" s="1" t="s">
        <v>1069</v>
      </c>
      <c r="B546" s="1" t="s">
        <v>1060</v>
      </c>
      <c r="C546" s="1" t="s">
        <v>1060</v>
      </c>
      <c r="D546" s="1" t="s">
        <v>1070</v>
      </c>
      <c r="E546" s="1" t="s">
        <v>38</v>
      </c>
      <c r="F546" s="1" t="s">
        <v>39</v>
      </c>
      <c r="G546" s="2">
        <v>-13927</v>
      </c>
      <c r="H546" s="2">
        <v>28189678.390000001</v>
      </c>
      <c r="I546" s="1" t="s">
        <v>40</v>
      </c>
      <c r="J546" s="1" t="s">
        <v>49</v>
      </c>
      <c r="K546" s="1" t="s">
        <v>1013</v>
      </c>
      <c r="L546" s="1" t="s">
        <v>39</v>
      </c>
      <c r="M546" s="1" t="s">
        <v>1071</v>
      </c>
      <c r="N546" s="1" t="s">
        <v>43</v>
      </c>
    </row>
    <row r="547" spans="1:14" x14ac:dyDescent="0.25">
      <c r="A547" s="1" t="s">
        <v>1072</v>
      </c>
      <c r="B547" s="1" t="s">
        <v>1073</v>
      </c>
      <c r="C547" s="1" t="s">
        <v>1073</v>
      </c>
      <c r="D547" s="1" t="s">
        <v>48</v>
      </c>
      <c r="E547" s="1" t="s">
        <v>38</v>
      </c>
      <c r="F547" s="1" t="s">
        <v>39</v>
      </c>
      <c r="G547" s="2">
        <v>-115</v>
      </c>
      <c r="H547" s="2">
        <v>28203605.390000001</v>
      </c>
      <c r="I547" s="1" t="s">
        <v>40</v>
      </c>
      <c r="J547" s="1" t="s">
        <v>49</v>
      </c>
      <c r="K547" s="1" t="s">
        <v>42</v>
      </c>
      <c r="L547" s="1" t="s">
        <v>39</v>
      </c>
      <c r="M547" s="1" t="s">
        <v>39</v>
      </c>
      <c r="N547" s="1" t="s">
        <v>43</v>
      </c>
    </row>
    <row r="548" spans="1:14" x14ac:dyDescent="0.25">
      <c r="A548" s="1" t="s">
        <v>1072</v>
      </c>
      <c r="B548" s="1" t="s">
        <v>1073</v>
      </c>
      <c r="C548" s="1" t="s">
        <v>1073</v>
      </c>
      <c r="D548" s="1" t="s">
        <v>1074</v>
      </c>
      <c r="E548" s="1" t="s">
        <v>38</v>
      </c>
      <c r="F548" s="1" t="s">
        <v>39</v>
      </c>
      <c r="G548" s="2">
        <v>-82390</v>
      </c>
      <c r="H548" s="2">
        <v>28203720.390000001</v>
      </c>
      <c r="I548" s="1" t="s">
        <v>40</v>
      </c>
      <c r="J548" s="1" t="s">
        <v>49</v>
      </c>
      <c r="K548" s="1" t="s">
        <v>1013</v>
      </c>
      <c r="L548" s="1" t="s">
        <v>39</v>
      </c>
      <c r="M548" s="1" t="s">
        <v>1075</v>
      </c>
      <c r="N548" s="1" t="s">
        <v>43</v>
      </c>
    </row>
    <row r="549" spans="1:14" x14ac:dyDescent="0.25">
      <c r="A549" s="1" t="s">
        <v>1076</v>
      </c>
      <c r="B549" s="1" t="s">
        <v>1073</v>
      </c>
      <c r="C549" s="1" t="s">
        <v>1073</v>
      </c>
      <c r="D549" s="1" t="s">
        <v>48</v>
      </c>
      <c r="E549" s="1" t="s">
        <v>38</v>
      </c>
      <c r="F549" s="1" t="s">
        <v>39</v>
      </c>
      <c r="G549" s="2">
        <v>-48</v>
      </c>
      <c r="H549" s="2">
        <v>28286110.390000001</v>
      </c>
      <c r="I549" s="1" t="s">
        <v>40</v>
      </c>
      <c r="J549" s="1" t="s">
        <v>49</v>
      </c>
      <c r="K549" s="1" t="s">
        <v>42</v>
      </c>
      <c r="L549" s="1" t="s">
        <v>39</v>
      </c>
      <c r="M549" s="1" t="s">
        <v>39</v>
      </c>
      <c r="N549" s="1" t="s">
        <v>43</v>
      </c>
    </row>
    <row r="550" spans="1:14" x14ac:dyDescent="0.25">
      <c r="A550" s="1" t="s">
        <v>1076</v>
      </c>
      <c r="B550" s="1" t="s">
        <v>1073</v>
      </c>
      <c r="C550" s="1" t="s">
        <v>1073</v>
      </c>
      <c r="D550" s="1" t="s">
        <v>1077</v>
      </c>
      <c r="E550" s="1" t="s">
        <v>38</v>
      </c>
      <c r="F550" s="1" t="s">
        <v>39</v>
      </c>
      <c r="G550" s="2">
        <v>-6290</v>
      </c>
      <c r="H550" s="2">
        <v>28286158.390000001</v>
      </c>
      <c r="I550" s="1" t="s">
        <v>40</v>
      </c>
      <c r="J550" s="1" t="s">
        <v>49</v>
      </c>
      <c r="K550" s="1" t="s">
        <v>1013</v>
      </c>
      <c r="L550" s="1" t="s">
        <v>39</v>
      </c>
      <c r="M550" s="1" t="s">
        <v>1078</v>
      </c>
      <c r="N550" s="1" t="s">
        <v>43</v>
      </c>
    </row>
    <row r="551" spans="1:14" x14ac:dyDescent="0.25">
      <c r="A551" s="1" t="s">
        <v>1079</v>
      </c>
      <c r="B551" s="1" t="s">
        <v>1073</v>
      </c>
      <c r="C551" s="1" t="s">
        <v>1080</v>
      </c>
      <c r="D551" s="1" t="s">
        <v>48</v>
      </c>
      <c r="E551" s="1" t="s">
        <v>38</v>
      </c>
      <c r="F551" s="1" t="s">
        <v>39</v>
      </c>
      <c r="G551" s="2">
        <v>-54</v>
      </c>
      <c r="H551" s="2">
        <v>28292448.390000001</v>
      </c>
      <c r="I551" s="1" t="s">
        <v>40</v>
      </c>
      <c r="J551" s="1" t="s">
        <v>49</v>
      </c>
      <c r="K551" s="1" t="s">
        <v>42</v>
      </c>
      <c r="L551" s="1" t="s">
        <v>39</v>
      </c>
      <c r="M551" s="1" t="s">
        <v>39</v>
      </c>
      <c r="N551" s="1" t="s">
        <v>43</v>
      </c>
    </row>
    <row r="552" spans="1:14" x14ac:dyDescent="0.25">
      <c r="A552" s="1" t="s">
        <v>1079</v>
      </c>
      <c r="B552" s="1" t="s">
        <v>1073</v>
      </c>
      <c r="C552" s="1" t="s">
        <v>1080</v>
      </c>
      <c r="D552" s="1" t="s">
        <v>1081</v>
      </c>
      <c r="E552" s="1" t="s">
        <v>38</v>
      </c>
      <c r="F552" s="1" t="s">
        <v>39</v>
      </c>
      <c r="G552" s="2">
        <v>-8060</v>
      </c>
      <c r="H552" s="2">
        <v>28292502.390000001</v>
      </c>
      <c r="I552" s="1" t="s">
        <v>40</v>
      </c>
      <c r="J552" s="1" t="s">
        <v>49</v>
      </c>
      <c r="K552" s="1" t="s">
        <v>1013</v>
      </c>
      <c r="L552" s="1" t="s">
        <v>39</v>
      </c>
      <c r="M552" s="1" t="s">
        <v>1082</v>
      </c>
      <c r="N552" s="1" t="s">
        <v>43</v>
      </c>
    </row>
    <row r="553" spans="1:14" x14ac:dyDescent="0.25">
      <c r="A553" s="1" t="s">
        <v>1083</v>
      </c>
      <c r="B553" s="1" t="s">
        <v>1084</v>
      </c>
      <c r="C553" s="1" t="s">
        <v>1084</v>
      </c>
      <c r="D553" s="1" t="s">
        <v>37</v>
      </c>
      <c r="E553" s="1" t="s">
        <v>38</v>
      </c>
      <c r="F553" s="1" t="s">
        <v>39</v>
      </c>
      <c r="G553" s="2">
        <v>-8</v>
      </c>
      <c r="H553" s="2">
        <v>28300562.390000001</v>
      </c>
      <c r="I553" s="1" t="s">
        <v>40</v>
      </c>
      <c r="J553" s="1" t="s">
        <v>41</v>
      </c>
      <c r="K553" s="1" t="s">
        <v>42</v>
      </c>
      <c r="L553" s="1" t="s">
        <v>39</v>
      </c>
      <c r="M553" s="1" t="s">
        <v>39</v>
      </c>
      <c r="N553" s="1" t="s">
        <v>43</v>
      </c>
    </row>
    <row r="554" spans="1:14" x14ac:dyDescent="0.25">
      <c r="A554" s="1" t="s">
        <v>1083</v>
      </c>
      <c r="B554" s="1" t="s">
        <v>1084</v>
      </c>
      <c r="C554" s="1" t="s">
        <v>1084</v>
      </c>
      <c r="D554" s="1" t="s">
        <v>1085</v>
      </c>
      <c r="E554" s="1" t="s">
        <v>38</v>
      </c>
      <c r="F554" s="1" t="s">
        <v>39</v>
      </c>
      <c r="G554" s="2">
        <v>-300</v>
      </c>
      <c r="H554" s="2">
        <v>28300570.390000001</v>
      </c>
      <c r="I554" s="1" t="s">
        <v>40</v>
      </c>
      <c r="J554" s="1" t="s">
        <v>41</v>
      </c>
      <c r="K554" s="1" t="s">
        <v>1086</v>
      </c>
      <c r="L554" s="1" t="s">
        <v>39</v>
      </c>
      <c r="M554" s="1" t="s">
        <v>39</v>
      </c>
      <c r="N554" s="1" t="s">
        <v>43</v>
      </c>
    </row>
    <row r="555" spans="1:14" x14ac:dyDescent="0.25">
      <c r="A555" s="1" t="s">
        <v>1087</v>
      </c>
      <c r="B555" s="1" t="s">
        <v>1088</v>
      </c>
      <c r="C555" s="1" t="s">
        <v>1089</v>
      </c>
      <c r="D555" s="1" t="s">
        <v>1090</v>
      </c>
      <c r="E555" s="1" t="s">
        <v>38</v>
      </c>
      <c r="F555" s="1" t="s">
        <v>39</v>
      </c>
      <c r="G555" s="2">
        <v>-20000</v>
      </c>
      <c r="H555" s="2">
        <v>28300870.390000001</v>
      </c>
      <c r="I555" s="1" t="s">
        <v>40</v>
      </c>
      <c r="J555" s="1" t="s">
        <v>49</v>
      </c>
      <c r="K555" s="1" t="s">
        <v>1091</v>
      </c>
      <c r="L555" s="1" t="s">
        <v>39</v>
      </c>
      <c r="M555" s="1" t="s">
        <v>1092</v>
      </c>
      <c r="N555" s="1" t="s">
        <v>43</v>
      </c>
    </row>
    <row r="556" spans="1:14" x14ac:dyDescent="0.25">
      <c r="A556" s="1" t="s">
        <v>1087</v>
      </c>
      <c r="B556" s="1" t="s">
        <v>1088</v>
      </c>
      <c r="C556" s="1" t="s">
        <v>1089</v>
      </c>
      <c r="D556" s="1" t="s">
        <v>48</v>
      </c>
      <c r="E556" s="1" t="s">
        <v>38</v>
      </c>
      <c r="F556" s="1" t="s">
        <v>39</v>
      </c>
      <c r="G556" s="2">
        <v>-68</v>
      </c>
      <c r="H556" s="2">
        <v>28320870.390000001</v>
      </c>
      <c r="I556" s="1" t="s">
        <v>40</v>
      </c>
      <c r="J556" s="1" t="s">
        <v>49</v>
      </c>
      <c r="K556" s="1" t="s">
        <v>42</v>
      </c>
      <c r="L556" s="1" t="s">
        <v>39</v>
      </c>
      <c r="M556" s="1" t="s">
        <v>39</v>
      </c>
      <c r="N556" s="1" t="s">
        <v>43</v>
      </c>
    </row>
    <row r="557" spans="1:14" x14ac:dyDescent="0.25">
      <c r="A557" s="1" t="s">
        <v>1093</v>
      </c>
      <c r="B557" s="1" t="s">
        <v>1094</v>
      </c>
      <c r="C557" s="1" t="s">
        <v>1094</v>
      </c>
      <c r="D557" s="1" t="s">
        <v>37</v>
      </c>
      <c r="E557" s="1" t="s">
        <v>38</v>
      </c>
      <c r="F557" s="1" t="s">
        <v>39</v>
      </c>
      <c r="G557" s="2">
        <v>-8</v>
      </c>
      <c r="H557" s="2">
        <v>28320938.390000001</v>
      </c>
      <c r="I557" s="1" t="s">
        <v>40</v>
      </c>
      <c r="J557" s="1" t="s">
        <v>41</v>
      </c>
      <c r="K557" s="1" t="s">
        <v>42</v>
      </c>
      <c r="L557" s="1" t="s">
        <v>39</v>
      </c>
      <c r="M557" s="1" t="s">
        <v>39</v>
      </c>
      <c r="N557" s="1" t="s">
        <v>43</v>
      </c>
    </row>
    <row r="558" spans="1:14" x14ac:dyDescent="0.25">
      <c r="A558" s="1" t="s">
        <v>1093</v>
      </c>
      <c r="B558" s="1" t="s">
        <v>1094</v>
      </c>
      <c r="C558" s="1" t="s">
        <v>1094</v>
      </c>
      <c r="D558" s="1" t="s">
        <v>1095</v>
      </c>
      <c r="E558" s="1" t="s">
        <v>38</v>
      </c>
      <c r="F558" s="1" t="s">
        <v>39</v>
      </c>
      <c r="G558" s="2">
        <v>-500</v>
      </c>
      <c r="H558" s="2">
        <v>28320946.390000001</v>
      </c>
      <c r="I558" s="1" t="s">
        <v>40</v>
      </c>
      <c r="J558" s="1" t="s">
        <v>41</v>
      </c>
      <c r="K558" s="1" t="s">
        <v>1096</v>
      </c>
      <c r="L558" s="1" t="s">
        <v>39</v>
      </c>
      <c r="M558" s="1" t="s">
        <v>39</v>
      </c>
      <c r="N558" s="1" t="s">
        <v>43</v>
      </c>
    </row>
    <row r="559" spans="1:14" x14ac:dyDescent="0.25">
      <c r="A559" s="1" t="s">
        <v>1097</v>
      </c>
      <c r="B559" s="1" t="s">
        <v>1098</v>
      </c>
      <c r="C559" s="1" t="s">
        <v>1098</v>
      </c>
      <c r="D559" s="1" t="s">
        <v>48</v>
      </c>
      <c r="E559" s="1" t="s">
        <v>38</v>
      </c>
      <c r="F559" s="1" t="s">
        <v>39</v>
      </c>
      <c r="G559" s="2">
        <v>-74</v>
      </c>
      <c r="H559" s="2">
        <v>28321446.390000001</v>
      </c>
      <c r="I559" s="1" t="s">
        <v>40</v>
      </c>
      <c r="J559" s="1" t="s">
        <v>49</v>
      </c>
      <c r="K559" s="1" t="s">
        <v>42</v>
      </c>
      <c r="L559" s="1" t="s">
        <v>39</v>
      </c>
      <c r="M559" s="1" t="s">
        <v>39</v>
      </c>
      <c r="N559" s="1" t="s">
        <v>43</v>
      </c>
    </row>
    <row r="560" spans="1:14" x14ac:dyDescent="0.25">
      <c r="A560" s="1" t="s">
        <v>1097</v>
      </c>
      <c r="B560" s="1" t="s">
        <v>1098</v>
      </c>
      <c r="C560" s="1" t="s">
        <v>1098</v>
      </c>
      <c r="D560" s="1" t="s">
        <v>1099</v>
      </c>
      <c r="E560" s="1" t="s">
        <v>38</v>
      </c>
      <c r="F560" s="1" t="s">
        <v>39</v>
      </c>
      <c r="G560" s="2">
        <v>-25000</v>
      </c>
      <c r="H560" s="2">
        <v>28321520.390000001</v>
      </c>
      <c r="I560" s="1" t="s">
        <v>40</v>
      </c>
      <c r="J560" s="1" t="s">
        <v>49</v>
      </c>
      <c r="K560" s="1" t="s">
        <v>1100</v>
      </c>
      <c r="L560" s="1" t="s">
        <v>39</v>
      </c>
      <c r="M560" s="1" t="s">
        <v>1101</v>
      </c>
      <c r="N560" s="1" t="s">
        <v>43</v>
      </c>
    </row>
    <row r="561" spans="1:14" x14ac:dyDescent="0.25">
      <c r="A561" s="1" t="s">
        <v>1102</v>
      </c>
      <c r="B561" s="1" t="s">
        <v>1103</v>
      </c>
      <c r="C561" s="1" t="s">
        <v>1104</v>
      </c>
      <c r="D561" s="1" t="s">
        <v>48</v>
      </c>
      <c r="E561" s="1" t="s">
        <v>38</v>
      </c>
      <c r="F561" s="1" t="s">
        <v>39</v>
      </c>
      <c r="G561" s="2">
        <v>-68</v>
      </c>
      <c r="H561" s="2">
        <v>28346520.390000001</v>
      </c>
      <c r="I561" s="1" t="s">
        <v>40</v>
      </c>
      <c r="J561" s="1" t="s">
        <v>49</v>
      </c>
      <c r="K561" s="1" t="s">
        <v>42</v>
      </c>
      <c r="L561" s="1" t="s">
        <v>39</v>
      </c>
      <c r="M561" s="1" t="s">
        <v>39</v>
      </c>
      <c r="N561" s="1" t="s">
        <v>43</v>
      </c>
    </row>
    <row r="562" spans="1:14" x14ac:dyDescent="0.25">
      <c r="A562" s="1" t="s">
        <v>1102</v>
      </c>
      <c r="B562" s="1" t="s">
        <v>1103</v>
      </c>
      <c r="C562" s="1" t="s">
        <v>1104</v>
      </c>
      <c r="D562" s="1" t="s">
        <v>1105</v>
      </c>
      <c r="E562" s="1" t="s">
        <v>38</v>
      </c>
      <c r="F562" s="1" t="s">
        <v>39</v>
      </c>
      <c r="G562" s="2">
        <v>-18000</v>
      </c>
      <c r="H562" s="2">
        <v>28346588.390000001</v>
      </c>
      <c r="I562" s="1" t="s">
        <v>40</v>
      </c>
      <c r="J562" s="1" t="s">
        <v>49</v>
      </c>
      <c r="K562" s="1" t="s">
        <v>880</v>
      </c>
      <c r="L562" s="1" t="s">
        <v>39</v>
      </c>
      <c r="M562" s="1" t="s">
        <v>1106</v>
      </c>
      <c r="N562" s="1" t="s">
        <v>43</v>
      </c>
    </row>
    <row r="563" spans="1:14" x14ac:dyDescent="0.25">
      <c r="A563" s="1" t="s">
        <v>1107</v>
      </c>
      <c r="B563" s="1" t="s">
        <v>1108</v>
      </c>
      <c r="C563" s="1" t="s">
        <v>1108</v>
      </c>
      <c r="D563" s="1" t="s">
        <v>37</v>
      </c>
      <c r="E563" s="1" t="s">
        <v>38</v>
      </c>
      <c r="F563" s="1" t="s">
        <v>39</v>
      </c>
      <c r="G563" s="2">
        <v>-13</v>
      </c>
      <c r="H563" s="2">
        <v>28364588.390000001</v>
      </c>
      <c r="I563" s="1" t="s">
        <v>40</v>
      </c>
      <c r="J563" s="1" t="s">
        <v>41</v>
      </c>
      <c r="K563" s="1" t="s">
        <v>42</v>
      </c>
      <c r="L563" s="1" t="s">
        <v>39</v>
      </c>
      <c r="M563" s="1" t="s">
        <v>39</v>
      </c>
      <c r="N563" s="1" t="s">
        <v>43</v>
      </c>
    </row>
    <row r="564" spans="1:14" x14ac:dyDescent="0.25">
      <c r="A564" s="1" t="s">
        <v>1107</v>
      </c>
      <c r="B564" s="1" t="s">
        <v>1108</v>
      </c>
      <c r="C564" s="1" t="s">
        <v>1108</v>
      </c>
      <c r="D564" s="1" t="s">
        <v>1109</v>
      </c>
      <c r="E564" s="1" t="s">
        <v>38</v>
      </c>
      <c r="F564" s="1" t="s">
        <v>39</v>
      </c>
      <c r="G564" s="2">
        <v>-675</v>
      </c>
      <c r="H564" s="2">
        <v>28364601.390000001</v>
      </c>
      <c r="I564" s="1" t="s">
        <v>40</v>
      </c>
      <c r="J564" s="1" t="s">
        <v>41</v>
      </c>
      <c r="K564" s="1" t="s">
        <v>1110</v>
      </c>
      <c r="L564" s="1" t="s">
        <v>39</v>
      </c>
      <c r="M564" s="1" t="s">
        <v>39</v>
      </c>
      <c r="N564" s="1" t="s">
        <v>43</v>
      </c>
    </row>
    <row r="565" spans="1:14" x14ac:dyDescent="0.25">
      <c r="A565" s="1" t="s">
        <v>1111</v>
      </c>
      <c r="B565" s="1" t="s">
        <v>1112</v>
      </c>
      <c r="C565" s="1" t="s">
        <v>1112</v>
      </c>
      <c r="D565" s="1" t="s">
        <v>48</v>
      </c>
      <c r="E565" s="1" t="s">
        <v>38</v>
      </c>
      <c r="F565" s="1" t="s">
        <v>39</v>
      </c>
      <c r="G565" s="2">
        <v>-13</v>
      </c>
      <c r="H565" s="2">
        <v>28365276.390000001</v>
      </c>
      <c r="I565" s="1" t="s">
        <v>40</v>
      </c>
      <c r="J565" s="1" t="s">
        <v>49</v>
      </c>
      <c r="K565" s="1" t="s">
        <v>42</v>
      </c>
      <c r="L565" s="1" t="s">
        <v>39</v>
      </c>
      <c r="M565" s="1" t="s">
        <v>39</v>
      </c>
      <c r="N565" s="1" t="s">
        <v>43</v>
      </c>
    </row>
    <row r="566" spans="1:14" x14ac:dyDescent="0.25">
      <c r="A566" s="1" t="s">
        <v>1111</v>
      </c>
      <c r="B566" s="1" t="s">
        <v>1112</v>
      </c>
      <c r="C566" s="1" t="s">
        <v>1112</v>
      </c>
      <c r="D566" s="1" t="s">
        <v>1113</v>
      </c>
      <c r="E566" s="1" t="s">
        <v>38</v>
      </c>
      <c r="F566" s="1" t="s">
        <v>39</v>
      </c>
      <c r="G566" s="2">
        <v>-960</v>
      </c>
      <c r="H566" s="2">
        <v>28365289.390000001</v>
      </c>
      <c r="I566" s="1" t="s">
        <v>40</v>
      </c>
      <c r="J566" s="1" t="s">
        <v>49</v>
      </c>
      <c r="K566" s="1" t="s">
        <v>755</v>
      </c>
      <c r="L566" s="1" t="s">
        <v>39</v>
      </c>
      <c r="M566" s="1" t="s">
        <v>1114</v>
      </c>
      <c r="N566" s="1" t="s">
        <v>43</v>
      </c>
    </row>
    <row r="567" spans="1:14" x14ac:dyDescent="0.25">
      <c r="A567" s="1" t="s">
        <v>1115</v>
      </c>
      <c r="B567" s="1" t="s">
        <v>1116</v>
      </c>
      <c r="C567" s="1" t="s">
        <v>1116</v>
      </c>
      <c r="D567" s="1" t="s">
        <v>37</v>
      </c>
      <c r="E567" s="1" t="s">
        <v>38</v>
      </c>
      <c r="F567" s="1" t="s">
        <v>39</v>
      </c>
      <c r="G567" s="2">
        <v>-115</v>
      </c>
      <c r="H567" s="2">
        <v>28366249.390000001</v>
      </c>
      <c r="I567" s="1" t="s">
        <v>40</v>
      </c>
      <c r="J567" s="1" t="s">
        <v>41</v>
      </c>
      <c r="K567" s="1" t="s">
        <v>42</v>
      </c>
      <c r="L567" s="1" t="s">
        <v>39</v>
      </c>
      <c r="M567" s="1" t="s">
        <v>39</v>
      </c>
      <c r="N567" s="1" t="s">
        <v>43</v>
      </c>
    </row>
    <row r="568" spans="1:14" x14ac:dyDescent="0.25">
      <c r="A568" s="1" t="s">
        <v>1115</v>
      </c>
      <c r="B568" s="1" t="s">
        <v>1116</v>
      </c>
      <c r="C568" s="1" t="s">
        <v>1116</v>
      </c>
      <c r="D568" s="1" t="s">
        <v>1117</v>
      </c>
      <c r="E568" s="1" t="s">
        <v>38</v>
      </c>
      <c r="F568" s="1" t="s">
        <v>39</v>
      </c>
      <c r="G568" s="2">
        <v>-49350</v>
      </c>
      <c r="H568" s="2">
        <v>28366364.390000001</v>
      </c>
      <c r="I568" s="1" t="s">
        <v>40</v>
      </c>
      <c r="J568" s="1" t="s">
        <v>41</v>
      </c>
      <c r="K568" s="1" t="s">
        <v>1118</v>
      </c>
      <c r="L568" s="1" t="s">
        <v>39</v>
      </c>
      <c r="M568" s="1" t="s">
        <v>39</v>
      </c>
      <c r="N568" s="1" t="s">
        <v>43</v>
      </c>
    </row>
    <row r="569" spans="1:14" x14ac:dyDescent="0.25">
      <c r="A569" s="1" t="s">
        <v>1119</v>
      </c>
      <c r="B569" s="1" t="s">
        <v>1120</v>
      </c>
      <c r="C569" s="1" t="s">
        <v>1120</v>
      </c>
      <c r="D569" s="1" t="s">
        <v>37</v>
      </c>
      <c r="E569" s="1" t="s">
        <v>38</v>
      </c>
      <c r="F569" s="1" t="s">
        <v>39</v>
      </c>
      <c r="G569" s="2">
        <v>-3</v>
      </c>
      <c r="H569" s="2">
        <v>28415714.390000001</v>
      </c>
      <c r="I569" s="1" t="s">
        <v>40</v>
      </c>
      <c r="J569" s="1" t="s">
        <v>41</v>
      </c>
      <c r="K569" s="1" t="s">
        <v>42</v>
      </c>
      <c r="L569" s="1" t="s">
        <v>39</v>
      </c>
      <c r="M569" s="1" t="s">
        <v>39</v>
      </c>
      <c r="N569" s="1" t="s">
        <v>43</v>
      </c>
    </row>
    <row r="570" spans="1:14" x14ac:dyDescent="0.25">
      <c r="A570" s="1" t="s">
        <v>1119</v>
      </c>
      <c r="B570" s="1" t="s">
        <v>1120</v>
      </c>
      <c r="C570" s="1" t="s">
        <v>1120</v>
      </c>
      <c r="D570" s="1" t="s">
        <v>1121</v>
      </c>
      <c r="E570" s="1" t="s">
        <v>38</v>
      </c>
      <c r="F570" s="1" t="s">
        <v>39</v>
      </c>
      <c r="G570" s="2">
        <v>-100</v>
      </c>
      <c r="H570" s="2">
        <v>28415717.390000001</v>
      </c>
      <c r="I570" s="1" t="s">
        <v>40</v>
      </c>
      <c r="J570" s="1" t="s">
        <v>41</v>
      </c>
      <c r="K570" s="1" t="s">
        <v>1122</v>
      </c>
      <c r="L570" s="1" t="s">
        <v>39</v>
      </c>
      <c r="M570" s="1" t="s">
        <v>39</v>
      </c>
      <c r="N570" s="1" t="s">
        <v>43</v>
      </c>
    </row>
    <row r="571" spans="1:14" x14ac:dyDescent="0.25">
      <c r="A571" s="1" t="s">
        <v>1123</v>
      </c>
      <c r="B571" s="1" t="s">
        <v>1124</v>
      </c>
      <c r="C571" s="1" t="s">
        <v>1124</v>
      </c>
      <c r="D571" s="1" t="s">
        <v>37</v>
      </c>
      <c r="E571" s="1" t="s">
        <v>38</v>
      </c>
      <c r="F571" s="1" t="s">
        <v>39</v>
      </c>
      <c r="G571" s="2">
        <v>-8</v>
      </c>
      <c r="H571" s="2">
        <v>28415817.390000001</v>
      </c>
      <c r="I571" s="1" t="s">
        <v>40</v>
      </c>
      <c r="J571" s="1" t="s">
        <v>41</v>
      </c>
      <c r="K571" s="1" t="s">
        <v>42</v>
      </c>
      <c r="L571" s="1" t="s">
        <v>39</v>
      </c>
      <c r="M571" s="1" t="s">
        <v>39</v>
      </c>
      <c r="N571" s="1" t="s">
        <v>43</v>
      </c>
    </row>
    <row r="572" spans="1:14" x14ac:dyDescent="0.25">
      <c r="A572" s="1" t="s">
        <v>1123</v>
      </c>
      <c r="B572" s="1" t="s">
        <v>1124</v>
      </c>
      <c r="C572" s="1" t="s">
        <v>1124</v>
      </c>
      <c r="D572" s="1" t="s">
        <v>1125</v>
      </c>
      <c r="E572" s="1" t="s">
        <v>38</v>
      </c>
      <c r="F572" s="1" t="s">
        <v>39</v>
      </c>
      <c r="G572" s="2">
        <v>-150</v>
      </c>
      <c r="H572" s="2">
        <v>28415825.390000001</v>
      </c>
      <c r="I572" s="1" t="s">
        <v>40</v>
      </c>
      <c r="J572" s="1" t="s">
        <v>41</v>
      </c>
      <c r="K572" s="1" t="s">
        <v>1126</v>
      </c>
      <c r="L572" s="1" t="s">
        <v>39</v>
      </c>
      <c r="M572" s="1" t="s">
        <v>39</v>
      </c>
      <c r="N572" s="1" t="s">
        <v>43</v>
      </c>
    </row>
    <row r="573" spans="1:14" x14ac:dyDescent="0.25">
      <c r="A573" s="1" t="s">
        <v>1127</v>
      </c>
      <c r="B573" s="1" t="s">
        <v>1128</v>
      </c>
      <c r="C573" s="1" t="s">
        <v>1128</v>
      </c>
      <c r="D573" s="1" t="s">
        <v>48</v>
      </c>
      <c r="E573" s="1" t="s">
        <v>38</v>
      </c>
      <c r="F573" s="1" t="s">
        <v>39</v>
      </c>
      <c r="G573" s="2">
        <v>-39</v>
      </c>
      <c r="H573" s="2">
        <v>28415975.390000001</v>
      </c>
      <c r="I573" s="1" t="s">
        <v>40</v>
      </c>
      <c r="J573" s="1" t="s">
        <v>49</v>
      </c>
      <c r="K573" s="1" t="s">
        <v>42</v>
      </c>
      <c r="L573" s="1" t="s">
        <v>39</v>
      </c>
      <c r="M573" s="1" t="s">
        <v>39</v>
      </c>
      <c r="N573" s="1" t="s">
        <v>43</v>
      </c>
    </row>
    <row r="574" spans="1:14" x14ac:dyDescent="0.25">
      <c r="A574" s="1" t="s">
        <v>1127</v>
      </c>
      <c r="B574" s="1" t="s">
        <v>1128</v>
      </c>
      <c r="C574" s="1" t="s">
        <v>1128</v>
      </c>
      <c r="D574" s="1" t="s">
        <v>946</v>
      </c>
      <c r="E574" s="1" t="s">
        <v>38</v>
      </c>
      <c r="F574" s="1" t="s">
        <v>39</v>
      </c>
      <c r="G574" s="2">
        <v>-3860</v>
      </c>
      <c r="H574" s="2">
        <v>28416014.390000001</v>
      </c>
      <c r="I574" s="1" t="s">
        <v>40</v>
      </c>
      <c r="J574" s="1" t="s">
        <v>49</v>
      </c>
      <c r="K574" s="1" t="s">
        <v>947</v>
      </c>
      <c r="L574" s="1" t="s">
        <v>39</v>
      </c>
      <c r="M574" s="1" t="s">
        <v>948</v>
      </c>
      <c r="N574" s="1" t="s">
        <v>43</v>
      </c>
    </row>
    <row r="575" spans="1:14" x14ac:dyDescent="0.25">
      <c r="A575" s="1" t="s">
        <v>1129</v>
      </c>
      <c r="B575" s="1" t="s">
        <v>1130</v>
      </c>
      <c r="C575" s="1" t="s">
        <v>1131</v>
      </c>
      <c r="D575" s="1" t="s">
        <v>48</v>
      </c>
      <c r="E575" s="1" t="s">
        <v>38</v>
      </c>
      <c r="F575" s="1" t="s">
        <v>39</v>
      </c>
      <c r="G575" s="2">
        <v>-39</v>
      </c>
      <c r="H575" s="2">
        <v>28419874.390000001</v>
      </c>
      <c r="I575" s="1" t="s">
        <v>40</v>
      </c>
      <c r="J575" s="1" t="s">
        <v>49</v>
      </c>
      <c r="K575" s="1" t="s">
        <v>42</v>
      </c>
      <c r="L575" s="1" t="s">
        <v>39</v>
      </c>
      <c r="M575" s="1" t="s">
        <v>39</v>
      </c>
      <c r="N575" s="1" t="s">
        <v>43</v>
      </c>
    </row>
    <row r="576" spans="1:14" x14ac:dyDescent="0.25">
      <c r="A576" s="1" t="s">
        <v>1129</v>
      </c>
      <c r="B576" s="1" t="s">
        <v>1130</v>
      </c>
      <c r="C576" s="1" t="s">
        <v>1131</v>
      </c>
      <c r="D576" s="1" t="s">
        <v>1132</v>
      </c>
      <c r="E576" s="1" t="s">
        <v>38</v>
      </c>
      <c r="F576" s="1" t="s">
        <v>39</v>
      </c>
      <c r="G576" s="2">
        <v>-3720</v>
      </c>
      <c r="H576" s="2">
        <v>28419913.390000001</v>
      </c>
      <c r="I576" s="1" t="s">
        <v>40</v>
      </c>
      <c r="J576" s="1" t="s">
        <v>49</v>
      </c>
      <c r="K576" s="1" t="s">
        <v>1133</v>
      </c>
      <c r="L576" s="1" t="s">
        <v>39</v>
      </c>
      <c r="M576" s="1" t="s">
        <v>1134</v>
      </c>
      <c r="N576" s="1" t="s">
        <v>43</v>
      </c>
    </row>
    <row r="577" spans="1:14" x14ac:dyDescent="0.25">
      <c r="A577" s="1" t="s">
        <v>1135</v>
      </c>
      <c r="B577" s="1" t="s">
        <v>1136</v>
      </c>
      <c r="C577" s="1" t="s">
        <v>1136</v>
      </c>
      <c r="D577" s="1" t="s">
        <v>37</v>
      </c>
      <c r="E577" s="1" t="s">
        <v>38</v>
      </c>
      <c r="F577" s="1" t="s">
        <v>39</v>
      </c>
      <c r="G577" s="2">
        <v>-13</v>
      </c>
      <c r="H577" s="2">
        <v>28423633.390000001</v>
      </c>
      <c r="I577" s="1" t="s">
        <v>40</v>
      </c>
      <c r="J577" s="1" t="s">
        <v>41</v>
      </c>
      <c r="K577" s="1" t="s">
        <v>42</v>
      </c>
      <c r="L577" s="1" t="s">
        <v>39</v>
      </c>
      <c r="M577" s="1" t="s">
        <v>39</v>
      </c>
      <c r="N577" s="1" t="s">
        <v>43</v>
      </c>
    </row>
    <row r="578" spans="1:14" x14ac:dyDescent="0.25">
      <c r="A578" s="1" t="s">
        <v>1135</v>
      </c>
      <c r="B578" s="1" t="s">
        <v>1136</v>
      </c>
      <c r="C578" s="1" t="s">
        <v>1136</v>
      </c>
      <c r="D578" s="1" t="s">
        <v>1137</v>
      </c>
      <c r="E578" s="1" t="s">
        <v>38</v>
      </c>
      <c r="F578" s="1" t="s">
        <v>39</v>
      </c>
      <c r="G578" s="2">
        <v>-650</v>
      </c>
      <c r="H578" s="2">
        <v>28423646.390000001</v>
      </c>
      <c r="I578" s="1" t="s">
        <v>40</v>
      </c>
      <c r="J578" s="1" t="s">
        <v>41</v>
      </c>
      <c r="K578" s="1" t="s">
        <v>1138</v>
      </c>
      <c r="L578" s="1" t="s">
        <v>39</v>
      </c>
      <c r="M578" s="1" t="s">
        <v>39</v>
      </c>
      <c r="N578" s="1" t="s">
        <v>43</v>
      </c>
    </row>
    <row r="579" spans="1:14" x14ac:dyDescent="0.25">
      <c r="A579" s="1" t="s">
        <v>1139</v>
      </c>
      <c r="B579" s="1" t="s">
        <v>1140</v>
      </c>
      <c r="C579" s="1" t="s">
        <v>1140</v>
      </c>
      <c r="D579" s="1" t="s">
        <v>48</v>
      </c>
      <c r="E579" s="1" t="s">
        <v>38</v>
      </c>
      <c r="F579" s="1" t="s">
        <v>39</v>
      </c>
      <c r="G579" s="2">
        <v>-68</v>
      </c>
      <c r="H579" s="2">
        <v>28424296.390000001</v>
      </c>
      <c r="I579" s="1" t="s">
        <v>40</v>
      </c>
      <c r="J579" s="1" t="s">
        <v>49</v>
      </c>
      <c r="K579" s="1" t="s">
        <v>42</v>
      </c>
      <c r="L579" s="1" t="s">
        <v>39</v>
      </c>
      <c r="M579" s="1" t="s">
        <v>39</v>
      </c>
      <c r="N579" s="1" t="s">
        <v>43</v>
      </c>
    </row>
    <row r="580" spans="1:14" x14ac:dyDescent="0.25">
      <c r="A580" s="1" t="s">
        <v>1139</v>
      </c>
      <c r="B580" s="1" t="s">
        <v>1140</v>
      </c>
      <c r="C580" s="1" t="s">
        <v>1140</v>
      </c>
      <c r="D580" s="1" t="s">
        <v>1141</v>
      </c>
      <c r="E580" s="1" t="s">
        <v>38</v>
      </c>
      <c r="F580" s="1" t="s">
        <v>39</v>
      </c>
      <c r="G580" s="2">
        <v>-20000</v>
      </c>
      <c r="H580" s="2">
        <v>28424364.390000001</v>
      </c>
      <c r="I580" s="1" t="s">
        <v>40</v>
      </c>
      <c r="J580" s="1" t="s">
        <v>49</v>
      </c>
      <c r="K580" s="1" t="s">
        <v>1142</v>
      </c>
      <c r="L580" s="1" t="s">
        <v>39</v>
      </c>
      <c r="M580" s="1" t="s">
        <v>1143</v>
      </c>
      <c r="N580" s="1" t="s">
        <v>43</v>
      </c>
    </row>
    <row r="581" spans="1:14" x14ac:dyDescent="0.25">
      <c r="A581" s="1" t="s">
        <v>1144</v>
      </c>
      <c r="B581" s="1" t="s">
        <v>1145</v>
      </c>
      <c r="C581" s="1" t="s">
        <v>1145</v>
      </c>
      <c r="D581" s="1" t="s">
        <v>37</v>
      </c>
      <c r="E581" s="1" t="s">
        <v>38</v>
      </c>
      <c r="F581" s="1" t="s">
        <v>39</v>
      </c>
      <c r="G581" s="2">
        <v>-54</v>
      </c>
      <c r="H581" s="2">
        <v>28444364.390000001</v>
      </c>
      <c r="I581" s="1" t="s">
        <v>40</v>
      </c>
      <c r="J581" s="1" t="s">
        <v>41</v>
      </c>
      <c r="K581" s="1" t="s">
        <v>42</v>
      </c>
      <c r="L581" s="1" t="s">
        <v>39</v>
      </c>
      <c r="M581" s="1" t="s">
        <v>39</v>
      </c>
      <c r="N581" s="1" t="s">
        <v>43</v>
      </c>
    </row>
    <row r="582" spans="1:14" x14ac:dyDescent="0.25">
      <c r="A582" s="1" t="s">
        <v>1144</v>
      </c>
      <c r="B582" s="1" t="s">
        <v>1145</v>
      </c>
      <c r="C582" s="1" t="s">
        <v>1145</v>
      </c>
      <c r="D582" s="1" t="s">
        <v>1146</v>
      </c>
      <c r="E582" s="1" t="s">
        <v>38</v>
      </c>
      <c r="F582" s="1" t="s">
        <v>39</v>
      </c>
      <c r="G582" s="2">
        <v>-8120</v>
      </c>
      <c r="H582" s="2">
        <v>28444418.390000001</v>
      </c>
      <c r="I582" s="1" t="s">
        <v>40</v>
      </c>
      <c r="J582" s="1" t="s">
        <v>41</v>
      </c>
      <c r="K582" s="1" t="s">
        <v>1147</v>
      </c>
      <c r="L582" s="1" t="s">
        <v>39</v>
      </c>
      <c r="M582" s="1" t="s">
        <v>39</v>
      </c>
      <c r="N582" s="1" t="s">
        <v>43</v>
      </c>
    </row>
    <row r="583" spans="1:14" x14ac:dyDescent="0.25">
      <c r="A583" s="1" t="s">
        <v>1148</v>
      </c>
      <c r="B583" s="1" t="s">
        <v>1149</v>
      </c>
      <c r="C583" s="1" t="s">
        <v>1149</v>
      </c>
      <c r="D583" s="1" t="s">
        <v>37</v>
      </c>
      <c r="E583" s="1" t="s">
        <v>38</v>
      </c>
      <c r="F583" s="1" t="s">
        <v>39</v>
      </c>
      <c r="G583" s="2">
        <v>-54</v>
      </c>
      <c r="H583" s="2">
        <v>28452538.390000001</v>
      </c>
      <c r="I583" s="1" t="s">
        <v>40</v>
      </c>
      <c r="J583" s="1" t="s">
        <v>41</v>
      </c>
      <c r="K583" s="1" t="s">
        <v>42</v>
      </c>
      <c r="L583" s="1" t="s">
        <v>39</v>
      </c>
      <c r="M583" s="1" t="s">
        <v>39</v>
      </c>
      <c r="N583" s="1" t="s">
        <v>43</v>
      </c>
    </row>
    <row r="584" spans="1:14" x14ac:dyDescent="0.25">
      <c r="A584" s="1" t="s">
        <v>1148</v>
      </c>
      <c r="B584" s="1" t="s">
        <v>1149</v>
      </c>
      <c r="C584" s="1" t="s">
        <v>1149</v>
      </c>
      <c r="D584" s="1" t="s">
        <v>1150</v>
      </c>
      <c r="E584" s="1" t="s">
        <v>38</v>
      </c>
      <c r="F584" s="1" t="s">
        <v>39</v>
      </c>
      <c r="G584" s="2">
        <v>-9450</v>
      </c>
      <c r="H584" s="2">
        <v>28452592.390000001</v>
      </c>
      <c r="I584" s="1" t="s">
        <v>40</v>
      </c>
      <c r="J584" s="1" t="s">
        <v>41</v>
      </c>
      <c r="K584" s="1" t="s">
        <v>1151</v>
      </c>
      <c r="L584" s="1" t="s">
        <v>39</v>
      </c>
      <c r="M584" s="1" t="s">
        <v>39</v>
      </c>
      <c r="N584" s="1" t="s">
        <v>43</v>
      </c>
    </row>
    <row r="585" spans="1:14" x14ac:dyDescent="0.25">
      <c r="A585" s="1" t="s">
        <v>1152</v>
      </c>
      <c r="B585" s="1" t="s">
        <v>1153</v>
      </c>
      <c r="C585" s="1" t="s">
        <v>1153</v>
      </c>
      <c r="D585" s="1" t="s">
        <v>37</v>
      </c>
      <c r="E585" s="1" t="s">
        <v>38</v>
      </c>
      <c r="F585" s="1" t="s">
        <v>39</v>
      </c>
      <c r="G585" s="2">
        <v>-3</v>
      </c>
      <c r="H585" s="2">
        <v>28462042.390000001</v>
      </c>
      <c r="I585" s="1" t="s">
        <v>40</v>
      </c>
      <c r="J585" s="1" t="s">
        <v>41</v>
      </c>
      <c r="K585" s="1" t="s">
        <v>42</v>
      </c>
      <c r="L585" s="1" t="s">
        <v>39</v>
      </c>
      <c r="M585" s="1" t="s">
        <v>39</v>
      </c>
      <c r="N585" s="1" t="s">
        <v>43</v>
      </c>
    </row>
    <row r="586" spans="1:14" x14ac:dyDescent="0.25">
      <c r="A586" s="1" t="s">
        <v>1152</v>
      </c>
      <c r="B586" s="1" t="s">
        <v>1153</v>
      </c>
      <c r="C586" s="1" t="s">
        <v>1153</v>
      </c>
      <c r="D586" s="1" t="s">
        <v>1154</v>
      </c>
      <c r="E586" s="1" t="s">
        <v>38</v>
      </c>
      <c r="F586" s="1" t="s">
        <v>39</v>
      </c>
      <c r="G586" s="2">
        <v>-60</v>
      </c>
      <c r="H586" s="2">
        <v>28462045.390000001</v>
      </c>
      <c r="I586" s="1" t="s">
        <v>40</v>
      </c>
      <c r="J586" s="1" t="s">
        <v>41</v>
      </c>
      <c r="K586" s="1" t="s">
        <v>1155</v>
      </c>
      <c r="L586" s="1" t="s">
        <v>39</v>
      </c>
      <c r="M586" s="1" t="s">
        <v>39</v>
      </c>
      <c r="N586" s="1" t="s">
        <v>43</v>
      </c>
    </row>
    <row r="587" spans="1:14" x14ac:dyDescent="0.25">
      <c r="A587" s="1" t="s">
        <v>1156</v>
      </c>
      <c r="B587" s="1" t="s">
        <v>1157</v>
      </c>
      <c r="C587" s="1" t="s">
        <v>1158</v>
      </c>
      <c r="D587" s="1" t="s">
        <v>1159</v>
      </c>
      <c r="E587" s="1" t="s">
        <v>38</v>
      </c>
      <c r="F587" s="1" t="s">
        <v>39</v>
      </c>
      <c r="G587" s="2">
        <v>-15900</v>
      </c>
      <c r="H587" s="2">
        <v>28462105.390000001</v>
      </c>
      <c r="I587" s="1" t="s">
        <v>40</v>
      </c>
      <c r="J587" s="1" t="s">
        <v>49</v>
      </c>
      <c r="K587" s="1" t="s">
        <v>220</v>
      </c>
      <c r="L587" s="1" t="s">
        <v>39</v>
      </c>
      <c r="M587" s="1" t="s">
        <v>1160</v>
      </c>
      <c r="N587" s="1" t="s">
        <v>43</v>
      </c>
    </row>
    <row r="588" spans="1:14" x14ac:dyDescent="0.25">
      <c r="A588" s="1" t="s">
        <v>1156</v>
      </c>
      <c r="B588" s="1" t="s">
        <v>1157</v>
      </c>
      <c r="C588" s="1" t="s">
        <v>1158</v>
      </c>
      <c r="D588" s="1" t="s">
        <v>48</v>
      </c>
      <c r="E588" s="1" t="s">
        <v>38</v>
      </c>
      <c r="F588" s="1" t="s">
        <v>39</v>
      </c>
      <c r="G588" s="2">
        <v>-68</v>
      </c>
      <c r="H588" s="2">
        <v>28478005.390000001</v>
      </c>
      <c r="I588" s="1" t="s">
        <v>40</v>
      </c>
      <c r="J588" s="1" t="s">
        <v>49</v>
      </c>
      <c r="K588" s="1" t="s">
        <v>42</v>
      </c>
      <c r="L588" s="1" t="s">
        <v>39</v>
      </c>
      <c r="M588" s="1" t="s">
        <v>39</v>
      </c>
      <c r="N588" s="1" t="s">
        <v>43</v>
      </c>
    </row>
    <row r="589" spans="1:14" x14ac:dyDescent="0.25">
      <c r="A589" s="1" t="s">
        <v>1161</v>
      </c>
      <c r="B589" s="1" t="s">
        <v>1162</v>
      </c>
      <c r="C589" s="1" t="s">
        <v>1162</v>
      </c>
      <c r="D589" s="1" t="s">
        <v>37</v>
      </c>
      <c r="E589" s="1" t="s">
        <v>38</v>
      </c>
      <c r="F589" s="1" t="s">
        <v>39</v>
      </c>
      <c r="G589" s="2">
        <v>-18</v>
      </c>
      <c r="H589" s="2">
        <v>28478073.390000001</v>
      </c>
      <c r="I589" s="1" t="s">
        <v>40</v>
      </c>
      <c r="J589" s="1" t="s">
        <v>41</v>
      </c>
      <c r="K589" s="1" t="s">
        <v>42</v>
      </c>
      <c r="L589" s="1" t="s">
        <v>39</v>
      </c>
      <c r="M589" s="1" t="s">
        <v>39</v>
      </c>
      <c r="N589" s="1" t="s">
        <v>43</v>
      </c>
    </row>
    <row r="590" spans="1:14" x14ac:dyDescent="0.25">
      <c r="A590" s="1" t="s">
        <v>1161</v>
      </c>
      <c r="B590" s="1" t="s">
        <v>1162</v>
      </c>
      <c r="C590" s="1" t="s">
        <v>1162</v>
      </c>
      <c r="D590" s="1" t="s">
        <v>1163</v>
      </c>
      <c r="E590" s="1" t="s">
        <v>38</v>
      </c>
      <c r="F590" s="1" t="s">
        <v>39</v>
      </c>
      <c r="G590" s="2">
        <v>-1500</v>
      </c>
      <c r="H590" s="2">
        <v>28478091.390000001</v>
      </c>
      <c r="I590" s="1" t="s">
        <v>40</v>
      </c>
      <c r="J590" s="1" t="s">
        <v>41</v>
      </c>
      <c r="K590" s="1" t="s">
        <v>1164</v>
      </c>
      <c r="L590" s="1" t="s">
        <v>39</v>
      </c>
      <c r="M590" s="1" t="s">
        <v>39</v>
      </c>
      <c r="N590" s="1" t="s">
        <v>43</v>
      </c>
    </row>
    <row r="591" spans="1:14" x14ac:dyDescent="0.25">
      <c r="A591" s="1" t="s">
        <v>1165</v>
      </c>
      <c r="B591" s="1" t="s">
        <v>1166</v>
      </c>
      <c r="C591" s="1" t="s">
        <v>1166</v>
      </c>
      <c r="D591" s="1" t="s">
        <v>48</v>
      </c>
      <c r="E591" s="1" t="s">
        <v>38</v>
      </c>
      <c r="F591" s="1" t="s">
        <v>39</v>
      </c>
      <c r="G591" s="2">
        <v>-74</v>
      </c>
      <c r="H591" s="2">
        <v>28479591.390000001</v>
      </c>
      <c r="I591" s="1" t="s">
        <v>40</v>
      </c>
      <c r="J591" s="1" t="s">
        <v>49</v>
      </c>
      <c r="K591" s="1" t="s">
        <v>42</v>
      </c>
      <c r="L591" s="1" t="s">
        <v>39</v>
      </c>
      <c r="M591" s="1" t="s">
        <v>39</v>
      </c>
      <c r="N591" s="1" t="s">
        <v>43</v>
      </c>
    </row>
    <row r="592" spans="1:14" x14ac:dyDescent="0.25">
      <c r="A592" s="1" t="s">
        <v>1165</v>
      </c>
      <c r="B592" s="1" t="s">
        <v>1166</v>
      </c>
      <c r="C592" s="1" t="s">
        <v>1166</v>
      </c>
      <c r="D592" s="1" t="s">
        <v>1167</v>
      </c>
      <c r="E592" s="1" t="s">
        <v>38</v>
      </c>
      <c r="F592" s="1" t="s">
        <v>39</v>
      </c>
      <c r="G592" s="2">
        <v>-22500</v>
      </c>
      <c r="H592" s="2">
        <v>28479665.390000001</v>
      </c>
      <c r="I592" s="1" t="s">
        <v>40</v>
      </c>
      <c r="J592" s="1" t="s">
        <v>49</v>
      </c>
      <c r="K592" s="1" t="s">
        <v>51</v>
      </c>
      <c r="L592" s="1" t="s">
        <v>39</v>
      </c>
      <c r="M592" s="1" t="s">
        <v>1168</v>
      </c>
      <c r="N592" s="1" t="s">
        <v>43</v>
      </c>
    </row>
    <row r="593" spans="1:14" x14ac:dyDescent="0.25">
      <c r="A593" s="1" t="s">
        <v>1169</v>
      </c>
      <c r="B593" s="1" t="s">
        <v>1170</v>
      </c>
      <c r="C593" s="1" t="s">
        <v>1170</v>
      </c>
      <c r="D593" s="1" t="s">
        <v>1171</v>
      </c>
      <c r="E593" s="1" t="s">
        <v>38</v>
      </c>
      <c r="F593" s="1" t="s">
        <v>39</v>
      </c>
      <c r="G593" s="2">
        <v>-20</v>
      </c>
      <c r="H593" s="2">
        <v>28502165.390000001</v>
      </c>
      <c r="I593" s="1" t="s">
        <v>40</v>
      </c>
      <c r="J593" s="1" t="s">
        <v>49</v>
      </c>
      <c r="K593" s="1" t="s">
        <v>1172</v>
      </c>
      <c r="L593" s="1" t="s">
        <v>39</v>
      </c>
      <c r="M593" s="1" t="s">
        <v>1173</v>
      </c>
      <c r="N593" s="1" t="s">
        <v>43</v>
      </c>
    </row>
    <row r="594" spans="1:14" x14ac:dyDescent="0.25">
      <c r="A594" s="1" t="s">
        <v>1174</v>
      </c>
      <c r="B594" s="1" t="s">
        <v>1175</v>
      </c>
      <c r="C594" s="1" t="s">
        <v>1175</v>
      </c>
      <c r="D594" s="1" t="s">
        <v>48</v>
      </c>
      <c r="E594" s="1" t="s">
        <v>38</v>
      </c>
      <c r="F594" s="1" t="s">
        <v>39</v>
      </c>
      <c r="G594" s="2">
        <v>-13</v>
      </c>
      <c r="H594" s="2">
        <v>28502185.390000001</v>
      </c>
      <c r="I594" s="1" t="s">
        <v>40</v>
      </c>
      <c r="J594" s="1" t="s">
        <v>49</v>
      </c>
      <c r="K594" s="1" t="s">
        <v>42</v>
      </c>
      <c r="L594" s="1" t="s">
        <v>39</v>
      </c>
      <c r="M594" s="1" t="s">
        <v>39</v>
      </c>
      <c r="N594" s="1" t="s">
        <v>43</v>
      </c>
    </row>
    <row r="595" spans="1:14" x14ac:dyDescent="0.25">
      <c r="A595" s="1" t="s">
        <v>1174</v>
      </c>
      <c r="B595" s="1" t="s">
        <v>1175</v>
      </c>
      <c r="C595" s="1" t="s">
        <v>1175</v>
      </c>
      <c r="D595" s="1" t="s">
        <v>1176</v>
      </c>
      <c r="E595" s="1" t="s">
        <v>38</v>
      </c>
      <c r="F595" s="1" t="s">
        <v>39</v>
      </c>
      <c r="G595" s="2">
        <v>-900</v>
      </c>
      <c r="H595" s="2">
        <v>28502198.390000001</v>
      </c>
      <c r="I595" s="1" t="s">
        <v>40</v>
      </c>
      <c r="J595" s="1" t="s">
        <v>49</v>
      </c>
      <c r="K595" s="1" t="s">
        <v>220</v>
      </c>
      <c r="L595" s="1" t="s">
        <v>39</v>
      </c>
      <c r="M595" s="1" t="s">
        <v>1177</v>
      </c>
      <c r="N595" s="1" t="s">
        <v>43</v>
      </c>
    </row>
    <row r="596" spans="1:14" x14ac:dyDescent="0.25">
      <c r="A596" s="1" t="s">
        <v>1178</v>
      </c>
      <c r="B596" s="1" t="s">
        <v>1179</v>
      </c>
      <c r="C596" s="1" t="s">
        <v>1180</v>
      </c>
      <c r="D596" s="1" t="s">
        <v>1181</v>
      </c>
      <c r="E596" s="1" t="s">
        <v>38</v>
      </c>
      <c r="F596" s="1" t="s">
        <v>39</v>
      </c>
      <c r="G596" s="2">
        <v>-2700</v>
      </c>
      <c r="H596" s="2">
        <v>28503098.390000001</v>
      </c>
      <c r="I596" s="1" t="s">
        <v>40</v>
      </c>
      <c r="J596" s="1" t="s">
        <v>49</v>
      </c>
      <c r="K596" s="1" t="s">
        <v>1182</v>
      </c>
      <c r="L596" s="1" t="s">
        <v>39</v>
      </c>
      <c r="M596" s="1" t="s">
        <v>1183</v>
      </c>
      <c r="N596" s="1" t="s">
        <v>43</v>
      </c>
    </row>
    <row r="597" spans="1:14" x14ac:dyDescent="0.25">
      <c r="A597" s="1" t="s">
        <v>1178</v>
      </c>
      <c r="B597" s="1" t="s">
        <v>1179</v>
      </c>
      <c r="C597" s="1" t="s">
        <v>1180</v>
      </c>
      <c r="D597" s="1" t="s">
        <v>48</v>
      </c>
      <c r="E597" s="1" t="s">
        <v>38</v>
      </c>
      <c r="F597" s="1" t="s">
        <v>39</v>
      </c>
      <c r="G597" s="2">
        <v>-30</v>
      </c>
      <c r="H597" s="2">
        <v>28505798.390000001</v>
      </c>
      <c r="I597" s="1" t="s">
        <v>40</v>
      </c>
      <c r="J597" s="1" t="s">
        <v>49</v>
      </c>
      <c r="K597" s="1" t="s">
        <v>42</v>
      </c>
      <c r="L597" s="1" t="s">
        <v>39</v>
      </c>
      <c r="M597" s="1" t="s">
        <v>39</v>
      </c>
      <c r="N597" s="1" t="s">
        <v>43</v>
      </c>
    </row>
    <row r="598" spans="1:14" x14ac:dyDescent="0.25">
      <c r="A598" s="1" t="s">
        <v>1184</v>
      </c>
      <c r="B598" s="1" t="s">
        <v>1185</v>
      </c>
      <c r="C598" s="1" t="s">
        <v>1185</v>
      </c>
      <c r="D598" s="1" t="s">
        <v>37</v>
      </c>
      <c r="E598" s="1" t="s">
        <v>38</v>
      </c>
      <c r="F598" s="1" t="s">
        <v>39</v>
      </c>
      <c r="G598" s="2">
        <v>-54</v>
      </c>
      <c r="H598" s="2">
        <v>28505828.390000001</v>
      </c>
      <c r="I598" s="1" t="s">
        <v>40</v>
      </c>
      <c r="J598" s="1" t="s">
        <v>41</v>
      </c>
      <c r="K598" s="1" t="s">
        <v>42</v>
      </c>
      <c r="L598" s="1" t="s">
        <v>39</v>
      </c>
      <c r="M598" s="1" t="s">
        <v>39</v>
      </c>
      <c r="N598" s="1" t="s">
        <v>43</v>
      </c>
    </row>
    <row r="599" spans="1:14" x14ac:dyDescent="0.25">
      <c r="A599" s="1" t="s">
        <v>1184</v>
      </c>
      <c r="B599" s="1" t="s">
        <v>1185</v>
      </c>
      <c r="C599" s="1" t="s">
        <v>1185</v>
      </c>
      <c r="D599" s="1" t="s">
        <v>129</v>
      </c>
      <c r="E599" s="1" t="s">
        <v>38</v>
      </c>
      <c r="F599" s="1" t="s">
        <v>39</v>
      </c>
      <c r="G599" s="2">
        <v>-10000</v>
      </c>
      <c r="H599" s="2">
        <v>28505882.390000001</v>
      </c>
      <c r="I599" s="1" t="s">
        <v>40</v>
      </c>
      <c r="J599" s="1" t="s">
        <v>41</v>
      </c>
      <c r="K599" s="1" t="s">
        <v>130</v>
      </c>
      <c r="L599" s="1" t="s">
        <v>39</v>
      </c>
      <c r="M599" s="1" t="s">
        <v>39</v>
      </c>
      <c r="N599" s="1" t="s">
        <v>43</v>
      </c>
    </row>
    <row r="600" spans="1:14" x14ac:dyDescent="0.25">
      <c r="A600" s="1" t="s">
        <v>1186</v>
      </c>
      <c r="B600" s="1" t="s">
        <v>1187</v>
      </c>
      <c r="C600" s="1" t="s">
        <v>1188</v>
      </c>
      <c r="D600" s="1" t="s">
        <v>48</v>
      </c>
      <c r="E600" s="1" t="s">
        <v>38</v>
      </c>
      <c r="F600" s="1" t="s">
        <v>39</v>
      </c>
      <c r="G600" s="2">
        <v>-18</v>
      </c>
      <c r="H600" s="2">
        <v>28515882.390000001</v>
      </c>
      <c r="I600" s="1" t="s">
        <v>40</v>
      </c>
      <c r="J600" s="1" t="s">
        <v>49</v>
      </c>
      <c r="K600" s="1" t="s">
        <v>42</v>
      </c>
      <c r="L600" s="1" t="s">
        <v>39</v>
      </c>
      <c r="M600" s="1" t="s">
        <v>39</v>
      </c>
      <c r="N600" s="1" t="s">
        <v>43</v>
      </c>
    </row>
    <row r="601" spans="1:14" x14ac:dyDescent="0.25">
      <c r="A601" s="1" t="s">
        <v>1186</v>
      </c>
      <c r="B601" s="1" t="s">
        <v>1187</v>
      </c>
      <c r="C601" s="1" t="s">
        <v>1188</v>
      </c>
      <c r="D601" s="1" t="s">
        <v>1189</v>
      </c>
      <c r="E601" s="1" t="s">
        <v>38</v>
      </c>
      <c r="F601" s="1" t="s">
        <v>39</v>
      </c>
      <c r="G601" s="2">
        <v>-1500</v>
      </c>
      <c r="H601" s="2">
        <v>28515900.390000001</v>
      </c>
      <c r="I601" s="1" t="s">
        <v>40</v>
      </c>
      <c r="J601" s="1" t="s">
        <v>49</v>
      </c>
      <c r="K601" s="1" t="s">
        <v>1190</v>
      </c>
      <c r="L601" s="1" t="s">
        <v>39</v>
      </c>
      <c r="M601" s="1" t="s">
        <v>1191</v>
      </c>
      <c r="N601" s="1" t="s">
        <v>43</v>
      </c>
    </row>
    <row r="602" spans="1:14" x14ac:dyDescent="0.25">
      <c r="A602" s="1" t="s">
        <v>1192</v>
      </c>
      <c r="B602" s="1" t="s">
        <v>1193</v>
      </c>
      <c r="C602" s="1" t="s">
        <v>1194</v>
      </c>
      <c r="D602" s="1" t="s">
        <v>37</v>
      </c>
      <c r="E602" s="1" t="s">
        <v>38</v>
      </c>
      <c r="F602" s="1" t="s">
        <v>39</v>
      </c>
      <c r="G602" s="2">
        <v>-48</v>
      </c>
      <c r="H602" s="2">
        <v>28517400.390000001</v>
      </c>
      <c r="I602" s="1" t="s">
        <v>40</v>
      </c>
      <c r="J602" s="1" t="s">
        <v>41</v>
      </c>
      <c r="K602" s="1" t="s">
        <v>42</v>
      </c>
      <c r="L602" s="1" t="s">
        <v>39</v>
      </c>
      <c r="M602" s="1" t="s">
        <v>39</v>
      </c>
      <c r="N602" s="1" t="s">
        <v>43</v>
      </c>
    </row>
    <row r="603" spans="1:14" x14ac:dyDescent="0.25">
      <c r="A603" s="1" t="s">
        <v>1192</v>
      </c>
      <c r="B603" s="1" t="s">
        <v>1193</v>
      </c>
      <c r="C603" s="1" t="s">
        <v>1194</v>
      </c>
      <c r="D603" s="1" t="s">
        <v>1195</v>
      </c>
      <c r="E603" s="1" t="s">
        <v>38</v>
      </c>
      <c r="F603" s="1" t="s">
        <v>39</v>
      </c>
      <c r="G603" s="2">
        <v>-6000</v>
      </c>
      <c r="H603" s="2">
        <v>28517448.390000001</v>
      </c>
      <c r="I603" s="1" t="s">
        <v>40</v>
      </c>
      <c r="J603" s="1" t="s">
        <v>41</v>
      </c>
      <c r="K603" s="1" t="s">
        <v>108</v>
      </c>
      <c r="L603" s="1" t="s">
        <v>39</v>
      </c>
      <c r="M603" s="1" t="s">
        <v>39</v>
      </c>
      <c r="N603" s="1" t="s">
        <v>43</v>
      </c>
    </row>
    <row r="604" spans="1:14" x14ac:dyDescent="0.25">
      <c r="A604" s="1" t="s">
        <v>1196</v>
      </c>
      <c r="B604" s="1" t="s">
        <v>1197</v>
      </c>
      <c r="C604" s="1" t="s">
        <v>1197</v>
      </c>
      <c r="D604" s="1" t="s">
        <v>48</v>
      </c>
      <c r="E604" s="1" t="s">
        <v>38</v>
      </c>
      <c r="F604" s="1" t="s">
        <v>39</v>
      </c>
      <c r="G604" s="2">
        <v>-48</v>
      </c>
      <c r="H604" s="2">
        <v>28523448.390000001</v>
      </c>
      <c r="I604" s="1" t="s">
        <v>40</v>
      </c>
      <c r="J604" s="1" t="s">
        <v>49</v>
      </c>
      <c r="K604" s="1" t="s">
        <v>42</v>
      </c>
      <c r="L604" s="1" t="s">
        <v>39</v>
      </c>
      <c r="M604" s="1" t="s">
        <v>39</v>
      </c>
      <c r="N604" s="1" t="s">
        <v>43</v>
      </c>
    </row>
    <row r="605" spans="1:14" x14ac:dyDescent="0.25">
      <c r="A605" s="1" t="s">
        <v>1196</v>
      </c>
      <c r="B605" s="1" t="s">
        <v>1197</v>
      </c>
      <c r="C605" s="1" t="s">
        <v>1197</v>
      </c>
      <c r="D605" s="1" t="s">
        <v>1198</v>
      </c>
      <c r="E605" s="1" t="s">
        <v>38</v>
      </c>
      <c r="F605" s="1" t="s">
        <v>39</v>
      </c>
      <c r="G605" s="2">
        <v>-7363</v>
      </c>
      <c r="H605" s="2">
        <v>28523496.390000001</v>
      </c>
      <c r="I605" s="1" t="s">
        <v>40</v>
      </c>
      <c r="J605" s="1" t="s">
        <v>49</v>
      </c>
      <c r="K605" s="1" t="s">
        <v>1199</v>
      </c>
      <c r="L605" s="1" t="s">
        <v>39</v>
      </c>
      <c r="M605" s="1" t="s">
        <v>1200</v>
      </c>
      <c r="N605" s="1" t="s">
        <v>43</v>
      </c>
    </row>
    <row r="606" spans="1:14" x14ac:dyDescent="0.25">
      <c r="A606" s="1" t="s">
        <v>1201</v>
      </c>
      <c r="B606" s="1" t="s">
        <v>1202</v>
      </c>
      <c r="C606" s="1" t="s">
        <v>1202</v>
      </c>
      <c r="D606" s="1" t="s">
        <v>37</v>
      </c>
      <c r="E606" s="1" t="s">
        <v>38</v>
      </c>
      <c r="F606" s="1" t="s">
        <v>39</v>
      </c>
      <c r="G606" s="2">
        <v>-8</v>
      </c>
      <c r="H606" s="2">
        <v>28530859.390000001</v>
      </c>
      <c r="I606" s="1" t="s">
        <v>40</v>
      </c>
      <c r="J606" s="1" t="s">
        <v>41</v>
      </c>
      <c r="K606" s="1" t="s">
        <v>42</v>
      </c>
      <c r="L606" s="1" t="s">
        <v>39</v>
      </c>
      <c r="M606" s="1" t="s">
        <v>39</v>
      </c>
      <c r="N606" s="1" t="s">
        <v>43</v>
      </c>
    </row>
    <row r="607" spans="1:14" x14ac:dyDescent="0.25">
      <c r="A607" s="1" t="s">
        <v>1201</v>
      </c>
      <c r="B607" s="1" t="s">
        <v>1202</v>
      </c>
      <c r="C607" s="1" t="s">
        <v>1202</v>
      </c>
      <c r="D607" s="1" t="s">
        <v>209</v>
      </c>
      <c r="E607" s="1" t="s">
        <v>38</v>
      </c>
      <c r="F607" s="1" t="s">
        <v>39</v>
      </c>
      <c r="G607" s="2">
        <v>-140</v>
      </c>
      <c r="H607" s="2">
        <v>28530867.390000001</v>
      </c>
      <c r="I607" s="1" t="s">
        <v>40</v>
      </c>
      <c r="J607" s="1" t="s">
        <v>41</v>
      </c>
      <c r="K607" s="1" t="s">
        <v>210</v>
      </c>
      <c r="L607" s="1" t="s">
        <v>39</v>
      </c>
      <c r="M607" s="1" t="s">
        <v>39</v>
      </c>
      <c r="N607" s="1" t="s">
        <v>43</v>
      </c>
    </row>
    <row r="608" spans="1:14" x14ac:dyDescent="0.25">
      <c r="A608" s="1" t="s">
        <v>1203</v>
      </c>
      <c r="B608" s="1" t="s">
        <v>1204</v>
      </c>
      <c r="C608" s="1" t="s">
        <v>1204</v>
      </c>
      <c r="D608" s="1" t="s">
        <v>37</v>
      </c>
      <c r="E608" s="1" t="s">
        <v>38</v>
      </c>
      <c r="F608" s="1" t="s">
        <v>39</v>
      </c>
      <c r="G608" s="2">
        <v>-18</v>
      </c>
      <c r="H608" s="2">
        <v>28531007.390000001</v>
      </c>
      <c r="I608" s="1" t="s">
        <v>40</v>
      </c>
      <c r="J608" s="1" t="s">
        <v>41</v>
      </c>
      <c r="K608" s="1" t="s">
        <v>42</v>
      </c>
      <c r="L608" s="1" t="s">
        <v>39</v>
      </c>
      <c r="M608" s="1" t="s">
        <v>39</v>
      </c>
      <c r="N608" s="1" t="s">
        <v>43</v>
      </c>
    </row>
    <row r="609" spans="1:14" x14ac:dyDescent="0.25">
      <c r="A609" s="1" t="s">
        <v>1203</v>
      </c>
      <c r="B609" s="1" t="s">
        <v>1204</v>
      </c>
      <c r="C609" s="1" t="s">
        <v>1204</v>
      </c>
      <c r="D609" s="1" t="s">
        <v>1205</v>
      </c>
      <c r="E609" s="1" t="s">
        <v>38</v>
      </c>
      <c r="F609" s="1" t="s">
        <v>39</v>
      </c>
      <c r="G609" s="2">
        <v>-1500</v>
      </c>
      <c r="H609" s="2">
        <v>28531025.390000001</v>
      </c>
      <c r="I609" s="1" t="s">
        <v>40</v>
      </c>
      <c r="J609" s="1" t="s">
        <v>41</v>
      </c>
      <c r="K609" s="1" t="s">
        <v>1206</v>
      </c>
      <c r="L609" s="1" t="s">
        <v>39</v>
      </c>
      <c r="M609" s="1" t="s">
        <v>39</v>
      </c>
      <c r="N609" s="1" t="s">
        <v>43</v>
      </c>
    </row>
    <row r="610" spans="1:14" x14ac:dyDescent="0.25">
      <c r="A610" s="1" t="s">
        <v>1207</v>
      </c>
      <c r="B610" s="1" t="s">
        <v>1208</v>
      </c>
      <c r="C610" s="1" t="s">
        <v>1208</v>
      </c>
      <c r="D610" s="1" t="s">
        <v>37</v>
      </c>
      <c r="E610" s="1" t="s">
        <v>38</v>
      </c>
      <c r="F610" s="1" t="s">
        <v>39</v>
      </c>
      <c r="G610" s="2">
        <v>-115</v>
      </c>
      <c r="H610" s="2">
        <v>28532525.390000001</v>
      </c>
      <c r="I610" s="1" t="s">
        <v>40</v>
      </c>
      <c r="J610" s="1" t="s">
        <v>41</v>
      </c>
      <c r="K610" s="1" t="s">
        <v>42</v>
      </c>
      <c r="L610" s="1" t="s">
        <v>39</v>
      </c>
      <c r="M610" s="1" t="s">
        <v>39</v>
      </c>
      <c r="N610" s="1" t="s">
        <v>43</v>
      </c>
    </row>
    <row r="611" spans="1:14" x14ac:dyDescent="0.25">
      <c r="A611" s="1" t="s">
        <v>1207</v>
      </c>
      <c r="B611" s="1" t="s">
        <v>1208</v>
      </c>
      <c r="C611" s="1" t="s">
        <v>1208</v>
      </c>
      <c r="D611" s="1" t="s">
        <v>1209</v>
      </c>
      <c r="E611" s="1" t="s">
        <v>38</v>
      </c>
      <c r="F611" s="1" t="s">
        <v>39</v>
      </c>
      <c r="G611" s="2">
        <v>-97486</v>
      </c>
      <c r="H611" s="2">
        <v>28532640.390000001</v>
      </c>
      <c r="I611" s="1" t="s">
        <v>40</v>
      </c>
      <c r="J611" s="1" t="s">
        <v>41</v>
      </c>
      <c r="K611" s="1" t="s">
        <v>1210</v>
      </c>
      <c r="L611" s="1" t="s">
        <v>39</v>
      </c>
      <c r="M611" s="1" t="s">
        <v>39</v>
      </c>
      <c r="N611" s="1" t="s">
        <v>43</v>
      </c>
    </row>
    <row r="612" spans="1:14" x14ac:dyDescent="0.25">
      <c r="A612" s="1" t="s">
        <v>1211</v>
      </c>
      <c r="B612" s="1" t="s">
        <v>1212</v>
      </c>
      <c r="C612" s="1" t="s">
        <v>1212</v>
      </c>
      <c r="D612" s="1" t="s">
        <v>37</v>
      </c>
      <c r="E612" s="1" t="s">
        <v>38</v>
      </c>
      <c r="F612" s="1" t="s">
        <v>39</v>
      </c>
      <c r="G612" s="2">
        <v>-48</v>
      </c>
      <c r="H612" s="2">
        <v>28630126.390000001</v>
      </c>
      <c r="I612" s="1" t="s">
        <v>40</v>
      </c>
      <c r="J612" s="1" t="s">
        <v>41</v>
      </c>
      <c r="K612" s="1" t="s">
        <v>42</v>
      </c>
      <c r="L612" s="1" t="s">
        <v>39</v>
      </c>
      <c r="M612" s="1" t="s">
        <v>39</v>
      </c>
      <c r="N612" s="1" t="s">
        <v>43</v>
      </c>
    </row>
    <row r="613" spans="1:14" x14ac:dyDescent="0.25">
      <c r="A613" s="1" t="s">
        <v>1211</v>
      </c>
      <c r="B613" s="1" t="s">
        <v>1212</v>
      </c>
      <c r="C613" s="1" t="s">
        <v>1212</v>
      </c>
      <c r="D613" s="1" t="s">
        <v>103</v>
      </c>
      <c r="E613" s="1" t="s">
        <v>38</v>
      </c>
      <c r="F613" s="1" t="s">
        <v>39</v>
      </c>
      <c r="G613" s="2">
        <v>-5400</v>
      </c>
      <c r="H613" s="2">
        <v>28630174.390000001</v>
      </c>
      <c r="I613" s="1" t="s">
        <v>40</v>
      </c>
      <c r="J613" s="1" t="s">
        <v>41</v>
      </c>
      <c r="K613" s="1" t="s">
        <v>104</v>
      </c>
      <c r="L613" s="1" t="s">
        <v>39</v>
      </c>
      <c r="M613" s="1" t="s">
        <v>39</v>
      </c>
      <c r="N613" s="1" t="s">
        <v>43</v>
      </c>
    </row>
    <row r="614" spans="1:14" x14ac:dyDescent="0.25">
      <c r="A614" s="1" t="s">
        <v>1213</v>
      </c>
      <c r="B614" s="1" t="s">
        <v>1214</v>
      </c>
      <c r="C614" s="1" t="s">
        <v>1214</v>
      </c>
      <c r="D614" s="1" t="s">
        <v>37</v>
      </c>
      <c r="E614" s="1" t="s">
        <v>38</v>
      </c>
      <c r="F614" s="1" t="s">
        <v>39</v>
      </c>
      <c r="G614" s="2">
        <v>-48</v>
      </c>
      <c r="H614" s="2">
        <v>28635574.390000001</v>
      </c>
      <c r="I614" s="1" t="s">
        <v>40</v>
      </c>
      <c r="J614" s="1" t="s">
        <v>41</v>
      </c>
      <c r="K614" s="1" t="s">
        <v>42</v>
      </c>
      <c r="L614" s="1" t="s">
        <v>39</v>
      </c>
      <c r="M614" s="1" t="s">
        <v>39</v>
      </c>
      <c r="N614" s="1" t="s">
        <v>43</v>
      </c>
    </row>
    <row r="615" spans="1:14" x14ac:dyDescent="0.25">
      <c r="A615" s="1" t="s">
        <v>1213</v>
      </c>
      <c r="B615" s="1" t="s">
        <v>1214</v>
      </c>
      <c r="C615" s="1" t="s">
        <v>1214</v>
      </c>
      <c r="D615" s="1" t="s">
        <v>170</v>
      </c>
      <c r="E615" s="1" t="s">
        <v>38</v>
      </c>
      <c r="F615" s="1" t="s">
        <v>39</v>
      </c>
      <c r="G615" s="2">
        <v>-6700</v>
      </c>
      <c r="H615" s="2">
        <v>28635622.390000001</v>
      </c>
      <c r="I615" s="1" t="s">
        <v>40</v>
      </c>
      <c r="J615" s="1" t="s">
        <v>41</v>
      </c>
      <c r="K615" s="1" t="s">
        <v>104</v>
      </c>
      <c r="L615" s="1" t="s">
        <v>39</v>
      </c>
      <c r="M615" s="1" t="s">
        <v>39</v>
      </c>
      <c r="N615" s="1" t="s">
        <v>43</v>
      </c>
    </row>
    <row r="616" spans="1:14" x14ac:dyDescent="0.25">
      <c r="A616" s="1" t="s">
        <v>1215</v>
      </c>
      <c r="B616" s="1" t="s">
        <v>1216</v>
      </c>
      <c r="C616" s="1" t="s">
        <v>1216</v>
      </c>
      <c r="D616" s="1" t="s">
        <v>37</v>
      </c>
      <c r="E616" s="1" t="s">
        <v>38</v>
      </c>
      <c r="F616" s="1" t="s">
        <v>39</v>
      </c>
      <c r="G616" s="2">
        <v>-63</v>
      </c>
      <c r="H616" s="2">
        <v>28642322.390000001</v>
      </c>
      <c r="I616" s="1" t="s">
        <v>40</v>
      </c>
      <c r="J616" s="1" t="s">
        <v>41</v>
      </c>
      <c r="K616" s="1" t="s">
        <v>42</v>
      </c>
      <c r="L616" s="1" t="s">
        <v>39</v>
      </c>
      <c r="M616" s="1" t="s">
        <v>39</v>
      </c>
      <c r="N616" s="1" t="s">
        <v>43</v>
      </c>
    </row>
    <row r="617" spans="1:14" x14ac:dyDescent="0.25">
      <c r="A617" s="1" t="s">
        <v>1215</v>
      </c>
      <c r="B617" s="1" t="s">
        <v>1216</v>
      </c>
      <c r="C617" s="1" t="s">
        <v>1216</v>
      </c>
      <c r="D617" s="1" t="s">
        <v>1217</v>
      </c>
      <c r="E617" s="1" t="s">
        <v>38</v>
      </c>
      <c r="F617" s="1" t="s">
        <v>39</v>
      </c>
      <c r="G617" s="2">
        <v>-13650</v>
      </c>
      <c r="H617" s="2">
        <v>28642385.390000001</v>
      </c>
      <c r="I617" s="1" t="s">
        <v>40</v>
      </c>
      <c r="J617" s="1" t="s">
        <v>41</v>
      </c>
      <c r="K617" s="1" t="s">
        <v>104</v>
      </c>
      <c r="L617" s="1" t="s">
        <v>39</v>
      </c>
      <c r="M617" s="1" t="s">
        <v>39</v>
      </c>
      <c r="N617" s="1" t="s">
        <v>43</v>
      </c>
    </row>
    <row r="618" spans="1:14" x14ac:dyDescent="0.25">
      <c r="A618" s="1" t="s">
        <v>1218</v>
      </c>
      <c r="B618" s="1" t="s">
        <v>1219</v>
      </c>
      <c r="C618" s="1" t="s">
        <v>1220</v>
      </c>
      <c r="D618" s="1" t="s">
        <v>37</v>
      </c>
      <c r="E618" s="1" t="s">
        <v>38</v>
      </c>
      <c r="F618" s="1" t="s">
        <v>39</v>
      </c>
      <c r="G618" s="2">
        <v>-48</v>
      </c>
      <c r="H618" s="2">
        <v>28656035.390000001</v>
      </c>
      <c r="I618" s="1" t="s">
        <v>40</v>
      </c>
      <c r="J618" s="1" t="s">
        <v>41</v>
      </c>
      <c r="K618" s="1" t="s">
        <v>42</v>
      </c>
      <c r="L618" s="1" t="s">
        <v>39</v>
      </c>
      <c r="M618" s="1" t="s">
        <v>39</v>
      </c>
      <c r="N618" s="1" t="s">
        <v>43</v>
      </c>
    </row>
    <row r="619" spans="1:14" x14ac:dyDescent="0.25">
      <c r="A619" s="1" t="s">
        <v>1218</v>
      </c>
      <c r="B619" s="1" t="s">
        <v>1219</v>
      </c>
      <c r="C619" s="1" t="s">
        <v>1220</v>
      </c>
      <c r="D619" s="1" t="s">
        <v>1221</v>
      </c>
      <c r="E619" s="1" t="s">
        <v>38</v>
      </c>
      <c r="F619" s="1" t="s">
        <v>39</v>
      </c>
      <c r="G619" s="2">
        <v>-5650</v>
      </c>
      <c r="H619" s="2">
        <v>28656083.390000001</v>
      </c>
      <c r="I619" s="1" t="s">
        <v>40</v>
      </c>
      <c r="J619" s="1" t="s">
        <v>41</v>
      </c>
      <c r="K619" s="1" t="s">
        <v>82</v>
      </c>
      <c r="L619" s="1" t="s">
        <v>39</v>
      </c>
      <c r="M619" s="1" t="s">
        <v>39</v>
      </c>
      <c r="N619" s="1" t="s">
        <v>43</v>
      </c>
    </row>
    <row r="620" spans="1:14" x14ac:dyDescent="0.25">
      <c r="A620" s="1" t="s">
        <v>1222</v>
      </c>
      <c r="B620" s="1" t="s">
        <v>1223</v>
      </c>
      <c r="C620" s="1" t="s">
        <v>1223</v>
      </c>
      <c r="D620" s="1" t="s">
        <v>37</v>
      </c>
      <c r="E620" s="1" t="s">
        <v>38</v>
      </c>
      <c r="F620" s="1" t="s">
        <v>39</v>
      </c>
      <c r="G620" s="2">
        <v>-25</v>
      </c>
      <c r="H620" s="2">
        <v>28661733.390000001</v>
      </c>
      <c r="I620" s="1" t="s">
        <v>40</v>
      </c>
      <c r="J620" s="1" t="s">
        <v>41</v>
      </c>
      <c r="K620" s="1" t="s">
        <v>42</v>
      </c>
      <c r="L620" s="1" t="s">
        <v>39</v>
      </c>
      <c r="M620" s="1" t="s">
        <v>39</v>
      </c>
      <c r="N620" s="1" t="s">
        <v>43</v>
      </c>
    </row>
    <row r="621" spans="1:14" x14ac:dyDescent="0.25">
      <c r="A621" s="1" t="s">
        <v>1222</v>
      </c>
      <c r="B621" s="1" t="s">
        <v>1223</v>
      </c>
      <c r="C621" s="1" t="s">
        <v>1223</v>
      </c>
      <c r="D621" s="1" t="s">
        <v>1224</v>
      </c>
      <c r="E621" s="1" t="s">
        <v>38</v>
      </c>
      <c r="F621" s="1" t="s">
        <v>39</v>
      </c>
      <c r="G621" s="2">
        <v>-1780</v>
      </c>
      <c r="H621" s="2">
        <v>28661758.390000001</v>
      </c>
      <c r="I621" s="1" t="s">
        <v>40</v>
      </c>
      <c r="J621" s="1" t="s">
        <v>41</v>
      </c>
      <c r="K621" s="1" t="s">
        <v>1225</v>
      </c>
      <c r="L621" s="1" t="s">
        <v>39</v>
      </c>
      <c r="M621" s="1" t="s">
        <v>39</v>
      </c>
      <c r="N621" s="1" t="s">
        <v>43</v>
      </c>
    </row>
    <row r="622" spans="1:14" x14ac:dyDescent="0.25">
      <c r="H622" s="8">
        <f>H621-G621</f>
        <v>28663538.390000001</v>
      </c>
    </row>
  </sheetData>
  <autoFilter ref="A7:N621" xr:uid="{4636DCDA-6C8B-4DA8-85FD-E857A01FDDF1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BF59-E207-4356-B410-D2E3978EC95D}">
  <sheetPr filterMode="1"/>
  <dimension ref="A1:AF329"/>
  <sheetViews>
    <sheetView topLeftCell="N1" workbookViewId="0">
      <selection activeCell="T14" sqref="T14"/>
    </sheetView>
  </sheetViews>
  <sheetFormatPr defaultRowHeight="12.5" x14ac:dyDescent="0.25"/>
  <sheetData>
    <row r="1" spans="1:32" x14ac:dyDescent="0.25">
      <c r="A1" t="s">
        <v>1226</v>
      </c>
      <c r="B1" t="s">
        <v>1227</v>
      </c>
      <c r="C1" t="s">
        <v>1228</v>
      </c>
      <c r="D1" t="s">
        <v>1229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1239</v>
      </c>
      <c r="O1" t="s">
        <v>1240</v>
      </c>
      <c r="P1" t="s">
        <v>1241</v>
      </c>
      <c r="Q1" t="s">
        <v>1242</v>
      </c>
      <c r="R1" t="s">
        <v>1243</v>
      </c>
      <c r="S1" t="s">
        <v>1244</v>
      </c>
      <c r="T1" t="s">
        <v>1245</v>
      </c>
      <c r="U1" t="s">
        <v>1246</v>
      </c>
      <c r="V1" t="s">
        <v>1247</v>
      </c>
      <c r="W1" t="s">
        <v>1248</v>
      </c>
      <c r="X1" t="s">
        <v>1249</v>
      </c>
      <c r="Y1" t="s">
        <v>1250</v>
      </c>
      <c r="Z1" t="s">
        <v>1251</v>
      </c>
      <c r="AA1" t="s">
        <v>23</v>
      </c>
      <c r="AB1" t="s">
        <v>1252</v>
      </c>
      <c r="AC1" t="s">
        <v>25</v>
      </c>
      <c r="AD1" t="s">
        <v>1253</v>
      </c>
      <c r="AE1" t="s">
        <v>1254</v>
      </c>
      <c r="AF1" t="s">
        <v>1255</v>
      </c>
    </row>
    <row r="2" spans="1:32" x14ac:dyDescent="0.25">
      <c r="B2">
        <v>784176</v>
      </c>
      <c r="C2" t="s">
        <v>1256</v>
      </c>
      <c r="D2" t="s">
        <v>1257</v>
      </c>
      <c r="E2" t="s">
        <v>1258</v>
      </c>
      <c r="F2" t="s">
        <v>1259</v>
      </c>
      <c r="G2">
        <v>1780</v>
      </c>
      <c r="H2">
        <v>0</v>
      </c>
      <c r="I2">
        <v>10</v>
      </c>
      <c r="J2">
        <v>0</v>
      </c>
      <c r="K2">
        <v>1</v>
      </c>
      <c r="L2">
        <v>0</v>
      </c>
      <c r="M2">
        <v>120551.14</v>
      </c>
      <c r="N2" s="4">
        <v>46267</v>
      </c>
      <c r="O2" t="s">
        <v>1260</v>
      </c>
      <c r="P2" t="s">
        <v>1222</v>
      </c>
      <c r="T2" t="s">
        <v>1261</v>
      </c>
      <c r="U2" t="s">
        <v>1262</v>
      </c>
      <c r="V2">
        <v>4999930</v>
      </c>
      <c r="X2" t="s">
        <v>1263</v>
      </c>
      <c r="Y2" t="s">
        <v>1264</v>
      </c>
      <c r="Z2" t="s">
        <v>1265</v>
      </c>
      <c r="AA2" s="5">
        <v>46267.043055555558</v>
      </c>
      <c r="AB2" t="s">
        <v>1266</v>
      </c>
      <c r="AC2" t="s">
        <v>1267</v>
      </c>
      <c r="AD2" t="s">
        <v>1268</v>
      </c>
      <c r="AE2" t="s">
        <v>1269</v>
      </c>
      <c r="AF2" t="s">
        <v>1270</v>
      </c>
    </row>
    <row r="3" spans="1:32" x14ac:dyDescent="0.25">
      <c r="B3">
        <v>80421</v>
      </c>
      <c r="C3" t="s">
        <v>1271</v>
      </c>
      <c r="D3" t="s">
        <v>1272</v>
      </c>
      <c r="E3" t="s">
        <v>1258</v>
      </c>
      <c r="F3" t="s">
        <v>1259</v>
      </c>
      <c r="G3">
        <v>5650</v>
      </c>
      <c r="H3">
        <v>0</v>
      </c>
      <c r="I3">
        <v>15</v>
      </c>
      <c r="J3">
        <v>0</v>
      </c>
      <c r="K3">
        <v>1</v>
      </c>
      <c r="L3">
        <v>0</v>
      </c>
      <c r="M3">
        <v>36.933999999999997</v>
      </c>
      <c r="N3" s="4">
        <v>46267</v>
      </c>
      <c r="O3" t="s">
        <v>1273</v>
      </c>
      <c r="P3" t="s">
        <v>1218</v>
      </c>
      <c r="T3" t="s">
        <v>1261</v>
      </c>
      <c r="U3" t="s">
        <v>1262</v>
      </c>
      <c r="V3">
        <v>9246253</v>
      </c>
      <c r="X3" t="s">
        <v>1263</v>
      </c>
      <c r="Y3" t="s">
        <v>1274</v>
      </c>
      <c r="Z3" t="s">
        <v>1275</v>
      </c>
      <c r="AA3" s="5">
        <v>46267.214583333334</v>
      </c>
      <c r="AB3" t="s">
        <v>1266</v>
      </c>
      <c r="AD3" t="s">
        <v>1268</v>
      </c>
      <c r="AE3" t="s">
        <v>1269</v>
      </c>
      <c r="AF3" t="s">
        <v>1270</v>
      </c>
    </row>
    <row r="4" spans="1:32" x14ac:dyDescent="0.25">
      <c r="B4">
        <v>77489</v>
      </c>
      <c r="C4" t="s">
        <v>1276</v>
      </c>
      <c r="D4" t="s">
        <v>1272</v>
      </c>
      <c r="E4" t="s">
        <v>1258</v>
      </c>
      <c r="F4" t="s">
        <v>1259</v>
      </c>
      <c r="G4">
        <v>13650</v>
      </c>
      <c r="H4">
        <v>0</v>
      </c>
      <c r="I4">
        <v>15</v>
      </c>
      <c r="J4">
        <v>0</v>
      </c>
      <c r="K4">
        <v>1</v>
      </c>
      <c r="L4">
        <v>0</v>
      </c>
      <c r="M4">
        <v>11.15</v>
      </c>
      <c r="N4" s="4">
        <v>46267</v>
      </c>
      <c r="O4" t="s">
        <v>1277</v>
      </c>
      <c r="P4" t="s">
        <v>1215</v>
      </c>
      <c r="T4" t="s">
        <v>1261</v>
      </c>
      <c r="U4" t="s">
        <v>1262</v>
      </c>
      <c r="V4">
        <v>821697</v>
      </c>
      <c r="X4" t="s">
        <v>1263</v>
      </c>
      <c r="Y4" t="s">
        <v>1278</v>
      </c>
      <c r="Z4" t="s">
        <v>1275</v>
      </c>
      <c r="AA4" s="5">
        <v>46267.271527777775</v>
      </c>
      <c r="AB4" t="s">
        <v>1266</v>
      </c>
      <c r="AD4" t="s">
        <v>1268</v>
      </c>
      <c r="AE4" t="s">
        <v>1269</v>
      </c>
      <c r="AF4" t="s">
        <v>1270</v>
      </c>
    </row>
    <row r="5" spans="1:32" x14ac:dyDescent="0.25">
      <c r="B5">
        <v>77480</v>
      </c>
      <c r="C5" t="s">
        <v>1279</v>
      </c>
      <c r="D5" t="s">
        <v>1272</v>
      </c>
      <c r="E5" t="s">
        <v>1258</v>
      </c>
      <c r="F5" t="s">
        <v>1259</v>
      </c>
      <c r="G5">
        <v>6700</v>
      </c>
      <c r="H5">
        <v>0</v>
      </c>
      <c r="I5">
        <v>15</v>
      </c>
      <c r="J5">
        <v>0</v>
      </c>
      <c r="K5">
        <v>1</v>
      </c>
      <c r="L5">
        <v>0</v>
      </c>
      <c r="M5">
        <v>21.98</v>
      </c>
      <c r="N5" s="4">
        <v>46267</v>
      </c>
      <c r="O5" t="s">
        <v>1280</v>
      </c>
      <c r="P5" t="s">
        <v>1213</v>
      </c>
      <c r="T5" t="s">
        <v>1261</v>
      </c>
      <c r="U5" t="s">
        <v>1262</v>
      </c>
      <c r="V5">
        <v>821697</v>
      </c>
      <c r="X5" t="s">
        <v>1263</v>
      </c>
      <c r="Y5" t="s">
        <v>1281</v>
      </c>
      <c r="Z5" t="s">
        <v>1275</v>
      </c>
      <c r="AA5" s="5">
        <v>46267.272222222222</v>
      </c>
      <c r="AB5" t="s">
        <v>1266</v>
      </c>
      <c r="AD5" t="s">
        <v>1268</v>
      </c>
      <c r="AE5" t="s">
        <v>1269</v>
      </c>
      <c r="AF5" t="s">
        <v>1270</v>
      </c>
    </row>
    <row r="6" spans="1:32" x14ac:dyDescent="0.25">
      <c r="B6">
        <v>77487</v>
      </c>
      <c r="C6" t="s">
        <v>1282</v>
      </c>
      <c r="D6" t="s">
        <v>1272</v>
      </c>
      <c r="E6" t="s">
        <v>1258</v>
      </c>
      <c r="F6" t="s">
        <v>1259</v>
      </c>
      <c r="G6">
        <v>5400</v>
      </c>
      <c r="H6">
        <v>0</v>
      </c>
      <c r="I6">
        <v>15</v>
      </c>
      <c r="J6">
        <v>0</v>
      </c>
      <c r="K6">
        <v>1</v>
      </c>
      <c r="L6">
        <v>0</v>
      </c>
      <c r="M6">
        <v>33.795999999999999</v>
      </c>
      <c r="N6" s="4">
        <v>46267</v>
      </c>
      <c r="O6" t="s">
        <v>1283</v>
      </c>
      <c r="P6" t="s">
        <v>1211</v>
      </c>
      <c r="T6" t="s">
        <v>1261</v>
      </c>
      <c r="U6" t="s">
        <v>1262</v>
      </c>
      <c r="V6">
        <v>821697</v>
      </c>
      <c r="X6" t="s">
        <v>1263</v>
      </c>
      <c r="Y6" t="s">
        <v>1284</v>
      </c>
      <c r="Z6" t="s">
        <v>1275</v>
      </c>
      <c r="AA6" s="5">
        <v>46267.272916666669</v>
      </c>
      <c r="AB6" t="s">
        <v>1266</v>
      </c>
      <c r="AD6" t="s">
        <v>1268</v>
      </c>
      <c r="AE6" t="s">
        <v>1269</v>
      </c>
      <c r="AF6" t="s">
        <v>1270</v>
      </c>
    </row>
    <row r="7" spans="1:32" x14ac:dyDescent="0.25">
      <c r="B7">
        <v>1586202</v>
      </c>
      <c r="C7" t="s">
        <v>1285</v>
      </c>
      <c r="D7" t="s">
        <v>1286</v>
      </c>
      <c r="F7" t="s">
        <v>1259</v>
      </c>
      <c r="G7">
        <v>97486</v>
      </c>
      <c r="H7">
        <v>0</v>
      </c>
      <c r="I7">
        <v>15</v>
      </c>
      <c r="J7">
        <v>15</v>
      </c>
      <c r="K7">
        <v>0</v>
      </c>
      <c r="L7">
        <v>0</v>
      </c>
      <c r="M7">
        <v>3455</v>
      </c>
      <c r="N7" s="4">
        <v>46267</v>
      </c>
      <c r="O7" t="s">
        <v>1287</v>
      </c>
      <c r="P7" t="s">
        <v>1207</v>
      </c>
      <c r="T7" t="s">
        <v>1261</v>
      </c>
      <c r="U7" t="s">
        <v>1262</v>
      </c>
      <c r="V7">
        <v>1586202</v>
      </c>
      <c r="X7" t="s">
        <v>1263</v>
      </c>
      <c r="Y7" t="s">
        <v>1288</v>
      </c>
      <c r="Z7" t="s">
        <v>1289</v>
      </c>
      <c r="AA7" s="5">
        <v>46267.324999999997</v>
      </c>
      <c r="AB7" t="s">
        <v>1266</v>
      </c>
      <c r="AD7" t="s">
        <v>1268</v>
      </c>
      <c r="AE7" t="s">
        <v>1269</v>
      </c>
      <c r="AF7" t="s">
        <v>1270</v>
      </c>
    </row>
    <row r="8" spans="1:32" x14ac:dyDescent="0.25">
      <c r="A8">
        <v>756756</v>
      </c>
      <c r="B8">
        <v>254720233020</v>
      </c>
      <c r="C8" t="s">
        <v>1290</v>
      </c>
      <c r="D8" t="s">
        <v>1286</v>
      </c>
      <c r="F8" t="s">
        <v>1259</v>
      </c>
      <c r="G8">
        <v>1500</v>
      </c>
      <c r="H8">
        <v>0</v>
      </c>
      <c r="I8">
        <v>10</v>
      </c>
      <c r="J8">
        <v>0</v>
      </c>
      <c r="K8">
        <v>0</v>
      </c>
      <c r="L8">
        <v>0</v>
      </c>
      <c r="M8">
        <v>7232</v>
      </c>
      <c r="N8" s="4">
        <v>46267</v>
      </c>
      <c r="O8" t="s">
        <v>1291</v>
      </c>
      <c r="P8" t="s">
        <v>1203</v>
      </c>
      <c r="T8" t="s">
        <v>1261</v>
      </c>
      <c r="U8" t="s">
        <v>1262</v>
      </c>
      <c r="V8">
        <v>634264</v>
      </c>
      <c r="X8" t="s">
        <v>1263</v>
      </c>
      <c r="Y8" t="s">
        <v>1292</v>
      </c>
      <c r="Z8" t="s">
        <v>1292</v>
      </c>
      <c r="AA8" s="5">
        <v>46267.349305555559</v>
      </c>
      <c r="AB8" t="s">
        <v>1266</v>
      </c>
      <c r="AC8" t="s">
        <v>1293</v>
      </c>
      <c r="AD8" t="s">
        <v>1268</v>
      </c>
      <c r="AE8" t="s">
        <v>1269</v>
      </c>
      <c r="AF8" t="s">
        <v>1270</v>
      </c>
    </row>
    <row r="9" spans="1:32" x14ac:dyDescent="0.25">
      <c r="A9">
        <v>756756</v>
      </c>
      <c r="B9">
        <v>254797413147</v>
      </c>
      <c r="C9" t="s">
        <v>1294</v>
      </c>
      <c r="D9" t="s">
        <v>1286</v>
      </c>
      <c r="F9" t="s">
        <v>1259</v>
      </c>
      <c r="G9">
        <v>140</v>
      </c>
      <c r="H9">
        <v>0</v>
      </c>
      <c r="I9">
        <v>10</v>
      </c>
      <c r="J9">
        <v>0</v>
      </c>
      <c r="K9">
        <v>0</v>
      </c>
      <c r="L9">
        <v>0</v>
      </c>
      <c r="M9">
        <v>351</v>
      </c>
      <c r="N9" s="4">
        <v>46267</v>
      </c>
      <c r="O9" t="s">
        <v>1295</v>
      </c>
      <c r="P9" t="s">
        <v>1201</v>
      </c>
      <c r="T9" t="s">
        <v>1261</v>
      </c>
      <c r="U9" t="s">
        <v>1262</v>
      </c>
      <c r="V9">
        <v>6721699</v>
      </c>
      <c r="X9" t="s">
        <v>1263</v>
      </c>
      <c r="Y9" t="s">
        <v>1296</v>
      </c>
      <c r="Z9" t="s">
        <v>1296</v>
      </c>
      <c r="AA9" s="5">
        <v>46267.359722222223</v>
      </c>
      <c r="AB9" t="s">
        <v>1266</v>
      </c>
      <c r="AC9" t="s">
        <v>1293</v>
      </c>
      <c r="AD9" t="s">
        <v>1268</v>
      </c>
      <c r="AE9" t="s">
        <v>1269</v>
      </c>
      <c r="AF9" t="s">
        <v>1270</v>
      </c>
    </row>
    <row r="10" spans="1:32" x14ac:dyDescent="0.25">
      <c r="A10">
        <v>455555</v>
      </c>
      <c r="B10">
        <v>343884</v>
      </c>
      <c r="C10" t="s">
        <v>1297</v>
      </c>
      <c r="D10" t="s">
        <v>1286</v>
      </c>
      <c r="F10" t="s">
        <v>1259</v>
      </c>
      <c r="G10">
        <v>3465</v>
      </c>
      <c r="H10">
        <v>0</v>
      </c>
      <c r="I10">
        <v>10</v>
      </c>
      <c r="J10">
        <v>0</v>
      </c>
      <c r="K10">
        <v>0</v>
      </c>
      <c r="L10">
        <v>0</v>
      </c>
      <c r="M10">
        <v>5794</v>
      </c>
      <c r="N10" s="4">
        <v>46267</v>
      </c>
      <c r="O10" t="s">
        <v>1298</v>
      </c>
      <c r="P10" t="s">
        <v>1299</v>
      </c>
      <c r="T10" t="s">
        <v>1261</v>
      </c>
      <c r="U10" t="s">
        <v>1262</v>
      </c>
      <c r="V10">
        <v>9053691</v>
      </c>
      <c r="X10" t="s">
        <v>1263</v>
      </c>
      <c r="Y10" t="s">
        <v>1300</v>
      </c>
      <c r="Z10" t="s">
        <v>1300</v>
      </c>
      <c r="AA10" s="5">
        <v>46267.361805555556</v>
      </c>
      <c r="AB10" t="s">
        <v>1266</v>
      </c>
      <c r="AC10" t="s">
        <v>1293</v>
      </c>
      <c r="AD10" t="s">
        <v>1268</v>
      </c>
      <c r="AE10" t="s">
        <v>1269</v>
      </c>
      <c r="AF10" t="s">
        <v>1270</v>
      </c>
    </row>
    <row r="11" spans="1:32" x14ac:dyDescent="0.25">
      <c r="B11">
        <v>293009</v>
      </c>
      <c r="C11" t="s">
        <v>1301</v>
      </c>
      <c r="D11" t="s">
        <v>1257</v>
      </c>
      <c r="F11" t="s">
        <v>1259</v>
      </c>
      <c r="G11">
        <v>7363</v>
      </c>
      <c r="H11">
        <v>0</v>
      </c>
      <c r="I11">
        <v>57</v>
      </c>
      <c r="J11">
        <v>0</v>
      </c>
      <c r="K11">
        <v>0</v>
      </c>
      <c r="L11">
        <v>0</v>
      </c>
      <c r="M11">
        <v>389832</v>
      </c>
      <c r="N11" s="4">
        <v>46267</v>
      </c>
      <c r="O11" t="s">
        <v>1302</v>
      </c>
      <c r="P11" t="s">
        <v>1196</v>
      </c>
      <c r="S11" t="s">
        <v>1303</v>
      </c>
      <c r="T11" t="s">
        <v>1261</v>
      </c>
      <c r="U11" t="s">
        <v>1262</v>
      </c>
      <c r="V11">
        <v>293009</v>
      </c>
      <c r="W11" t="s">
        <v>1303</v>
      </c>
      <c r="X11" t="s">
        <v>1263</v>
      </c>
      <c r="Y11" t="s">
        <v>1304</v>
      </c>
      <c r="Z11" t="s">
        <v>1305</v>
      </c>
      <c r="AA11" s="5">
        <v>46267.37222222222</v>
      </c>
      <c r="AB11" t="s">
        <v>1266</v>
      </c>
      <c r="AD11" t="s">
        <v>1268</v>
      </c>
      <c r="AE11" t="s">
        <v>1269</v>
      </c>
      <c r="AF11" t="s">
        <v>1270</v>
      </c>
    </row>
    <row r="12" spans="1:32" x14ac:dyDescent="0.25">
      <c r="B12">
        <v>15114</v>
      </c>
      <c r="C12" t="s">
        <v>1306</v>
      </c>
      <c r="D12" t="s">
        <v>1272</v>
      </c>
      <c r="E12" t="s">
        <v>1258</v>
      </c>
      <c r="F12" t="s">
        <v>1259</v>
      </c>
      <c r="G12">
        <v>6000</v>
      </c>
      <c r="H12">
        <v>0</v>
      </c>
      <c r="I12">
        <v>15</v>
      </c>
      <c r="J12">
        <v>0</v>
      </c>
      <c r="K12">
        <v>1</v>
      </c>
      <c r="L12">
        <v>0</v>
      </c>
      <c r="M12">
        <v>13608.611999999999</v>
      </c>
      <c r="N12" s="4">
        <v>46267</v>
      </c>
      <c r="O12" t="s">
        <v>1307</v>
      </c>
      <c r="P12" t="s">
        <v>1192</v>
      </c>
      <c r="T12" t="s">
        <v>1261</v>
      </c>
      <c r="U12" t="s">
        <v>1262</v>
      </c>
      <c r="V12">
        <v>968512</v>
      </c>
      <c r="X12" t="s">
        <v>1263</v>
      </c>
      <c r="Y12" t="s">
        <v>1308</v>
      </c>
      <c r="Z12" t="s">
        <v>1309</v>
      </c>
      <c r="AA12" s="5">
        <v>46267.373611111114</v>
      </c>
      <c r="AB12" t="s">
        <v>1266</v>
      </c>
      <c r="AD12" t="s">
        <v>1268</v>
      </c>
      <c r="AE12" t="s">
        <v>1269</v>
      </c>
      <c r="AF12" t="s">
        <v>1270</v>
      </c>
    </row>
    <row r="13" spans="1:32" x14ac:dyDescent="0.25">
      <c r="B13">
        <v>414936</v>
      </c>
      <c r="C13" t="s">
        <v>1310</v>
      </c>
      <c r="D13" t="s">
        <v>1286</v>
      </c>
      <c r="F13" t="s">
        <v>1259</v>
      </c>
      <c r="G13">
        <v>1500</v>
      </c>
      <c r="H13">
        <v>0</v>
      </c>
      <c r="I13">
        <v>25</v>
      </c>
      <c r="J13">
        <v>2</v>
      </c>
      <c r="K13">
        <v>0</v>
      </c>
      <c r="L13">
        <v>0</v>
      </c>
      <c r="M13">
        <v>21326</v>
      </c>
      <c r="N13" s="4">
        <v>46267</v>
      </c>
      <c r="O13" t="s">
        <v>1311</v>
      </c>
      <c r="P13" t="s">
        <v>1186</v>
      </c>
      <c r="S13" t="s">
        <v>1312</v>
      </c>
      <c r="T13" t="s">
        <v>1261</v>
      </c>
      <c r="U13" t="s">
        <v>1262</v>
      </c>
      <c r="V13">
        <v>414936</v>
      </c>
      <c r="W13" t="s">
        <v>1312</v>
      </c>
      <c r="X13" t="s">
        <v>1263</v>
      </c>
      <c r="Y13" t="s">
        <v>1313</v>
      </c>
      <c r="Z13" t="s">
        <v>1314</v>
      </c>
      <c r="AA13" s="5">
        <v>46267.390972222223</v>
      </c>
      <c r="AB13" t="s">
        <v>1266</v>
      </c>
      <c r="AD13" t="s">
        <v>1268</v>
      </c>
      <c r="AE13" t="s">
        <v>1269</v>
      </c>
      <c r="AF13" t="s">
        <v>1270</v>
      </c>
    </row>
    <row r="14" spans="1:32" x14ac:dyDescent="0.25">
      <c r="B14">
        <v>15111</v>
      </c>
      <c r="C14" t="s">
        <v>1315</v>
      </c>
      <c r="D14" t="s">
        <v>1272</v>
      </c>
      <c r="E14" t="s">
        <v>1258</v>
      </c>
      <c r="F14" t="s">
        <v>1259</v>
      </c>
      <c r="G14">
        <v>10000</v>
      </c>
      <c r="H14">
        <v>0</v>
      </c>
      <c r="I14">
        <v>15</v>
      </c>
      <c r="J14">
        <v>0</v>
      </c>
      <c r="K14">
        <v>1</v>
      </c>
      <c r="L14">
        <v>0</v>
      </c>
      <c r="M14">
        <v>1124.4580000000001</v>
      </c>
      <c r="N14" s="4">
        <v>46267</v>
      </c>
      <c r="O14" t="s">
        <v>1316</v>
      </c>
      <c r="P14" t="s">
        <v>1184</v>
      </c>
      <c r="T14" t="s">
        <v>1261</v>
      </c>
      <c r="U14" t="s">
        <v>1262</v>
      </c>
      <c r="V14">
        <v>9926197</v>
      </c>
      <c r="X14" t="s">
        <v>1263</v>
      </c>
      <c r="Y14" t="s">
        <v>1317</v>
      </c>
      <c r="Z14" t="s">
        <v>1318</v>
      </c>
      <c r="AA14" s="5">
        <v>46267.397916666669</v>
      </c>
      <c r="AB14" t="s">
        <v>1266</v>
      </c>
      <c r="AD14" t="s">
        <v>1268</v>
      </c>
      <c r="AE14" t="s">
        <v>1269</v>
      </c>
      <c r="AF14" t="s">
        <v>1270</v>
      </c>
    </row>
    <row r="15" spans="1:32" x14ac:dyDescent="0.25">
      <c r="A15">
        <v>756756</v>
      </c>
      <c r="B15">
        <v>1625943</v>
      </c>
      <c r="C15" t="s">
        <v>1319</v>
      </c>
      <c r="D15" t="s">
        <v>1320</v>
      </c>
      <c r="F15" t="s">
        <v>1259</v>
      </c>
      <c r="G15">
        <v>2700</v>
      </c>
      <c r="H15">
        <v>0</v>
      </c>
      <c r="I15">
        <v>40</v>
      </c>
      <c r="J15">
        <v>0</v>
      </c>
      <c r="K15">
        <v>0</v>
      </c>
      <c r="L15">
        <v>0</v>
      </c>
      <c r="M15">
        <v>1305.23</v>
      </c>
      <c r="N15" s="4">
        <v>46267</v>
      </c>
      <c r="O15" t="s">
        <v>1321</v>
      </c>
      <c r="P15" t="s">
        <v>1178</v>
      </c>
      <c r="S15" t="s">
        <v>1322</v>
      </c>
      <c r="T15" t="s">
        <v>1261</v>
      </c>
      <c r="U15" t="s">
        <v>1262</v>
      </c>
      <c r="V15">
        <v>485111</v>
      </c>
      <c r="W15" t="s">
        <v>1322</v>
      </c>
      <c r="X15" t="s">
        <v>1263</v>
      </c>
      <c r="Y15" t="s">
        <v>1323</v>
      </c>
      <c r="Z15">
        <v>6500090405</v>
      </c>
      <c r="AA15" s="5">
        <v>46267.402083333334</v>
      </c>
      <c r="AB15" t="s">
        <v>1266</v>
      </c>
      <c r="AC15" t="s">
        <v>1293</v>
      </c>
      <c r="AD15" t="s">
        <v>1268</v>
      </c>
      <c r="AE15" t="s">
        <v>1269</v>
      </c>
      <c r="AF15" t="s">
        <v>1270</v>
      </c>
    </row>
    <row r="16" spans="1:32" x14ac:dyDescent="0.25">
      <c r="B16">
        <v>1484</v>
      </c>
      <c r="C16" t="s">
        <v>1324</v>
      </c>
      <c r="D16" t="s">
        <v>1257</v>
      </c>
      <c r="E16" t="s">
        <v>1258</v>
      </c>
      <c r="F16" t="s">
        <v>1259</v>
      </c>
      <c r="G16">
        <v>900</v>
      </c>
      <c r="H16">
        <v>0</v>
      </c>
      <c r="I16">
        <v>20</v>
      </c>
      <c r="J16">
        <v>0</v>
      </c>
      <c r="K16">
        <v>1</v>
      </c>
      <c r="L16">
        <v>0</v>
      </c>
      <c r="M16">
        <v>1328.674</v>
      </c>
      <c r="N16" s="4">
        <v>46267</v>
      </c>
      <c r="O16" t="s">
        <v>1325</v>
      </c>
      <c r="P16" t="s">
        <v>1174</v>
      </c>
      <c r="S16" t="s">
        <v>1326</v>
      </c>
      <c r="T16" t="s">
        <v>1261</v>
      </c>
      <c r="U16" t="s">
        <v>1262</v>
      </c>
      <c r="V16">
        <v>247247</v>
      </c>
      <c r="W16" t="s">
        <v>1326</v>
      </c>
      <c r="X16" t="s">
        <v>1263</v>
      </c>
      <c r="Y16" t="s">
        <v>1327</v>
      </c>
      <c r="Z16">
        <v>116700</v>
      </c>
      <c r="AA16" s="5">
        <v>46267.405555555553</v>
      </c>
      <c r="AB16" t="s">
        <v>1266</v>
      </c>
      <c r="AD16" t="s">
        <v>1268</v>
      </c>
      <c r="AE16" t="s">
        <v>1269</v>
      </c>
      <c r="AF16" t="s">
        <v>1270</v>
      </c>
    </row>
    <row r="17" spans="1:32" x14ac:dyDescent="0.25">
      <c r="A17">
        <v>756756</v>
      </c>
      <c r="B17">
        <v>254795093834</v>
      </c>
      <c r="C17" t="s">
        <v>1328</v>
      </c>
      <c r="D17" t="s">
        <v>1286</v>
      </c>
      <c r="F17" t="s">
        <v>1259</v>
      </c>
      <c r="G17">
        <v>20</v>
      </c>
      <c r="H17">
        <v>0</v>
      </c>
      <c r="I17">
        <v>0</v>
      </c>
      <c r="J17">
        <v>0</v>
      </c>
      <c r="K17">
        <v>0</v>
      </c>
      <c r="L17">
        <v>0</v>
      </c>
      <c r="M17">
        <v>56</v>
      </c>
      <c r="N17" s="4">
        <v>46267</v>
      </c>
      <c r="O17" t="s">
        <v>1329</v>
      </c>
      <c r="P17" t="s">
        <v>1169</v>
      </c>
      <c r="S17" t="s">
        <v>1330</v>
      </c>
      <c r="T17" t="s">
        <v>1261</v>
      </c>
      <c r="U17" t="s">
        <v>1262</v>
      </c>
      <c r="V17">
        <v>4131085</v>
      </c>
      <c r="W17" t="s">
        <v>1330</v>
      </c>
      <c r="X17" t="s">
        <v>1263</v>
      </c>
      <c r="Y17" t="s">
        <v>1331</v>
      </c>
      <c r="Z17" t="s">
        <v>1173</v>
      </c>
      <c r="AA17" s="5">
        <v>46267.416666666664</v>
      </c>
      <c r="AB17" t="s">
        <v>1266</v>
      </c>
      <c r="AC17" t="s">
        <v>1293</v>
      </c>
      <c r="AD17" t="s">
        <v>1268</v>
      </c>
      <c r="AE17" t="s">
        <v>1269</v>
      </c>
      <c r="AF17" t="s">
        <v>1270</v>
      </c>
    </row>
    <row r="18" spans="1:32" x14ac:dyDescent="0.25">
      <c r="B18">
        <v>458445</v>
      </c>
      <c r="C18" t="s">
        <v>1332</v>
      </c>
      <c r="D18" t="s">
        <v>1257</v>
      </c>
      <c r="E18" t="s">
        <v>1258</v>
      </c>
      <c r="F18" t="s">
        <v>1259</v>
      </c>
      <c r="G18">
        <v>22500</v>
      </c>
      <c r="H18">
        <v>0</v>
      </c>
      <c r="I18">
        <v>87</v>
      </c>
      <c r="J18">
        <v>0</v>
      </c>
      <c r="K18">
        <v>1</v>
      </c>
      <c r="L18">
        <v>0</v>
      </c>
      <c r="M18">
        <v>810922.68599999999</v>
      </c>
      <c r="N18" s="4">
        <v>46267</v>
      </c>
      <c r="O18" t="s">
        <v>1333</v>
      </c>
      <c r="P18" t="s">
        <v>1165</v>
      </c>
      <c r="S18" t="s">
        <v>1334</v>
      </c>
      <c r="T18" t="s">
        <v>1261</v>
      </c>
      <c r="U18" t="s">
        <v>1262</v>
      </c>
      <c r="V18">
        <v>714888</v>
      </c>
      <c r="W18" t="s">
        <v>1334</v>
      </c>
      <c r="X18" t="s">
        <v>1263</v>
      </c>
      <c r="Y18" t="s">
        <v>1335</v>
      </c>
      <c r="Z18">
        <v>18738</v>
      </c>
      <c r="AA18" s="5">
        <v>46267.427083333336</v>
      </c>
      <c r="AB18" t="s">
        <v>1266</v>
      </c>
      <c r="AC18" t="s">
        <v>1267</v>
      </c>
      <c r="AD18" t="s">
        <v>1268</v>
      </c>
      <c r="AE18" t="s">
        <v>1269</v>
      </c>
      <c r="AF18" t="s">
        <v>1270</v>
      </c>
    </row>
    <row r="19" spans="1:32" x14ac:dyDescent="0.25">
      <c r="A19">
        <v>756756</v>
      </c>
      <c r="B19">
        <v>254711592002</v>
      </c>
      <c r="C19" t="s">
        <v>1336</v>
      </c>
      <c r="D19" t="s">
        <v>1286</v>
      </c>
      <c r="F19" t="s">
        <v>1259</v>
      </c>
      <c r="G19">
        <v>1500</v>
      </c>
      <c r="H19">
        <v>0</v>
      </c>
      <c r="I19">
        <v>10</v>
      </c>
      <c r="J19">
        <v>0</v>
      </c>
      <c r="K19">
        <v>0</v>
      </c>
      <c r="L19">
        <v>0</v>
      </c>
      <c r="M19">
        <v>11723</v>
      </c>
      <c r="N19" s="4">
        <v>46267</v>
      </c>
      <c r="O19" t="s">
        <v>1337</v>
      </c>
      <c r="P19" t="s">
        <v>1161</v>
      </c>
      <c r="T19" t="s">
        <v>1261</v>
      </c>
      <c r="U19" t="s">
        <v>1262</v>
      </c>
      <c r="V19">
        <v>5555550</v>
      </c>
      <c r="X19" t="s">
        <v>1263</v>
      </c>
      <c r="Y19" t="s">
        <v>1338</v>
      </c>
      <c r="Z19" t="s">
        <v>1338</v>
      </c>
      <c r="AA19" s="5">
        <v>46267.429166666669</v>
      </c>
      <c r="AB19" t="s">
        <v>1266</v>
      </c>
      <c r="AC19" t="s">
        <v>1293</v>
      </c>
      <c r="AD19" t="s">
        <v>1268</v>
      </c>
      <c r="AE19" t="s">
        <v>1269</v>
      </c>
      <c r="AF19" t="s">
        <v>1270</v>
      </c>
    </row>
    <row r="20" spans="1:32" hidden="1" x14ac:dyDescent="0.25">
      <c r="B20">
        <v>225544</v>
      </c>
      <c r="C20" t="s">
        <v>1339</v>
      </c>
      <c r="D20" t="s">
        <v>1340</v>
      </c>
      <c r="E20" t="s">
        <v>1341</v>
      </c>
      <c r="F20" t="s">
        <v>1259</v>
      </c>
      <c r="G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148.16</v>
      </c>
      <c r="N20" s="4">
        <v>46267</v>
      </c>
      <c r="O20" t="s">
        <v>1342</v>
      </c>
      <c r="Q20" t="s">
        <v>1343</v>
      </c>
      <c r="T20" t="s">
        <v>1261</v>
      </c>
      <c r="U20" t="s">
        <v>1262</v>
      </c>
      <c r="V20">
        <v>479068</v>
      </c>
      <c r="X20" t="s">
        <v>1263</v>
      </c>
      <c r="Y20" t="s">
        <v>1344</v>
      </c>
      <c r="Z20">
        <v>301210</v>
      </c>
      <c r="AA20" s="5">
        <v>46267.442361111112</v>
      </c>
      <c r="AB20" t="s">
        <v>1345</v>
      </c>
      <c r="AD20" t="s">
        <v>1346</v>
      </c>
      <c r="AE20" t="s">
        <v>1347</v>
      </c>
      <c r="AF20" t="s">
        <v>1348</v>
      </c>
    </row>
    <row r="21" spans="1:32" x14ac:dyDescent="0.25">
      <c r="B21">
        <v>1552342</v>
      </c>
      <c r="C21" t="s">
        <v>1349</v>
      </c>
      <c r="D21" t="s">
        <v>1286</v>
      </c>
      <c r="F21" t="s">
        <v>1259</v>
      </c>
      <c r="G21">
        <v>15900</v>
      </c>
      <c r="H21">
        <v>0</v>
      </c>
      <c r="I21">
        <v>82</v>
      </c>
      <c r="J21">
        <v>18</v>
      </c>
      <c r="K21">
        <v>0</v>
      </c>
      <c r="L21">
        <v>0</v>
      </c>
      <c r="M21">
        <v>50</v>
      </c>
      <c r="N21" s="4">
        <v>46267</v>
      </c>
      <c r="O21" t="s">
        <v>1350</v>
      </c>
      <c r="P21" t="s">
        <v>1156</v>
      </c>
      <c r="S21" t="s">
        <v>1326</v>
      </c>
      <c r="T21" t="s">
        <v>1261</v>
      </c>
      <c r="U21" t="s">
        <v>1262</v>
      </c>
      <c r="V21">
        <v>1552342</v>
      </c>
      <c r="W21" t="s">
        <v>1326</v>
      </c>
      <c r="X21" t="s">
        <v>1263</v>
      </c>
      <c r="Y21" t="s">
        <v>1351</v>
      </c>
      <c r="Z21" t="s">
        <v>1352</v>
      </c>
      <c r="AA21" s="5">
        <v>46267.445833333331</v>
      </c>
      <c r="AB21" t="s">
        <v>1266</v>
      </c>
      <c r="AD21" t="s">
        <v>1268</v>
      </c>
      <c r="AE21" t="s">
        <v>1269</v>
      </c>
      <c r="AF21" t="s">
        <v>1270</v>
      </c>
    </row>
    <row r="22" spans="1:32" x14ac:dyDescent="0.25">
      <c r="A22">
        <v>455555</v>
      </c>
      <c r="B22">
        <v>334660</v>
      </c>
      <c r="C22" t="s">
        <v>1353</v>
      </c>
      <c r="D22" t="s">
        <v>1286</v>
      </c>
      <c r="F22" t="s">
        <v>1259</v>
      </c>
      <c r="G22">
        <v>2400</v>
      </c>
      <c r="H22">
        <v>0</v>
      </c>
      <c r="I22">
        <v>34</v>
      </c>
      <c r="J22">
        <v>0</v>
      </c>
      <c r="K22">
        <v>0</v>
      </c>
      <c r="L22">
        <v>0</v>
      </c>
      <c r="M22">
        <v>3509</v>
      </c>
      <c r="N22" s="4">
        <v>46267</v>
      </c>
      <c r="O22" t="s">
        <v>1354</v>
      </c>
      <c r="P22" t="s">
        <v>1355</v>
      </c>
      <c r="S22" t="s">
        <v>1356</v>
      </c>
      <c r="T22" t="s">
        <v>1261</v>
      </c>
      <c r="U22" t="s">
        <v>1262</v>
      </c>
      <c r="V22">
        <v>600118</v>
      </c>
      <c r="W22" t="s">
        <v>1356</v>
      </c>
      <c r="X22" t="s">
        <v>1263</v>
      </c>
      <c r="Y22" t="s">
        <v>1357</v>
      </c>
      <c r="Z22">
        <v>182779</v>
      </c>
      <c r="AA22" s="5">
        <v>46267.455555555556</v>
      </c>
      <c r="AB22" t="s">
        <v>1266</v>
      </c>
      <c r="AC22" t="s">
        <v>1293</v>
      </c>
      <c r="AD22" t="s">
        <v>1268</v>
      </c>
      <c r="AE22" t="s">
        <v>1269</v>
      </c>
      <c r="AF22" t="s">
        <v>1270</v>
      </c>
    </row>
    <row r="23" spans="1:32" x14ac:dyDescent="0.25">
      <c r="B23">
        <v>1326697</v>
      </c>
      <c r="C23" t="s">
        <v>1358</v>
      </c>
      <c r="D23" t="s">
        <v>1286</v>
      </c>
      <c r="F23" t="s">
        <v>1259</v>
      </c>
      <c r="G23">
        <v>60</v>
      </c>
      <c r="H23">
        <v>0</v>
      </c>
      <c r="I23">
        <v>0</v>
      </c>
      <c r="J23">
        <v>0</v>
      </c>
      <c r="K23">
        <v>0</v>
      </c>
      <c r="L23">
        <v>0</v>
      </c>
      <c r="M23">
        <v>13461</v>
      </c>
      <c r="N23" s="4">
        <v>46267</v>
      </c>
      <c r="O23" t="s">
        <v>1359</v>
      </c>
      <c r="P23" t="s">
        <v>1152</v>
      </c>
      <c r="T23" t="s">
        <v>1261</v>
      </c>
      <c r="U23" t="s">
        <v>1262</v>
      </c>
      <c r="V23">
        <v>1326697</v>
      </c>
      <c r="X23" t="s">
        <v>1263</v>
      </c>
      <c r="Y23" t="s">
        <v>1360</v>
      </c>
      <c r="Z23" t="s">
        <v>1361</v>
      </c>
      <c r="AA23" s="5">
        <v>46267.456250000003</v>
      </c>
      <c r="AB23" t="s">
        <v>1266</v>
      </c>
      <c r="AD23" t="s">
        <v>1268</v>
      </c>
      <c r="AE23" t="s">
        <v>1269</v>
      </c>
      <c r="AF23" t="s">
        <v>1270</v>
      </c>
    </row>
    <row r="24" spans="1:32" x14ac:dyDescent="0.25">
      <c r="B24">
        <v>276585</v>
      </c>
      <c r="C24" t="s">
        <v>1362</v>
      </c>
      <c r="D24" t="s">
        <v>1257</v>
      </c>
      <c r="E24" t="s">
        <v>1258</v>
      </c>
      <c r="F24" t="s">
        <v>1259</v>
      </c>
      <c r="G24">
        <v>9450</v>
      </c>
      <c r="H24">
        <v>0</v>
      </c>
      <c r="I24">
        <v>15</v>
      </c>
      <c r="J24">
        <v>0</v>
      </c>
      <c r="K24">
        <v>1</v>
      </c>
      <c r="L24">
        <v>0</v>
      </c>
      <c r="M24">
        <v>23525.360000000001</v>
      </c>
      <c r="N24" s="4">
        <v>46267</v>
      </c>
      <c r="O24" t="s">
        <v>1363</v>
      </c>
      <c r="P24" t="s">
        <v>1148</v>
      </c>
      <c r="T24" t="s">
        <v>1261</v>
      </c>
      <c r="U24" t="s">
        <v>1262</v>
      </c>
      <c r="V24">
        <v>3586381</v>
      </c>
      <c r="X24" t="s">
        <v>1263</v>
      </c>
      <c r="Y24" t="s">
        <v>1364</v>
      </c>
      <c r="Z24" t="s">
        <v>1365</v>
      </c>
      <c r="AA24" s="5">
        <v>46267.456944444442</v>
      </c>
      <c r="AB24" t="s">
        <v>1266</v>
      </c>
      <c r="AD24" t="s">
        <v>1268</v>
      </c>
      <c r="AE24" t="s">
        <v>1269</v>
      </c>
      <c r="AF24" t="s">
        <v>1270</v>
      </c>
    </row>
    <row r="25" spans="1:32" x14ac:dyDescent="0.25">
      <c r="B25">
        <v>276585</v>
      </c>
      <c r="C25" t="s">
        <v>1362</v>
      </c>
      <c r="D25" t="s">
        <v>1257</v>
      </c>
      <c r="E25" t="s">
        <v>1258</v>
      </c>
      <c r="F25" t="s">
        <v>1259</v>
      </c>
      <c r="G25">
        <v>8120</v>
      </c>
      <c r="H25">
        <v>0</v>
      </c>
      <c r="I25">
        <v>15</v>
      </c>
      <c r="J25">
        <v>0</v>
      </c>
      <c r="K25">
        <v>1</v>
      </c>
      <c r="L25">
        <v>0</v>
      </c>
      <c r="M25">
        <v>13769.36</v>
      </c>
      <c r="N25" s="4">
        <v>46267</v>
      </c>
      <c r="O25" t="s">
        <v>1366</v>
      </c>
      <c r="P25" t="s">
        <v>1144</v>
      </c>
      <c r="T25" t="s">
        <v>1261</v>
      </c>
      <c r="U25" t="s">
        <v>1262</v>
      </c>
      <c r="V25">
        <v>5775191</v>
      </c>
      <c r="X25" t="s">
        <v>1263</v>
      </c>
      <c r="Y25" t="s">
        <v>1367</v>
      </c>
      <c r="Z25" t="s">
        <v>1368</v>
      </c>
      <c r="AA25" s="5">
        <v>46267.458333333336</v>
      </c>
      <c r="AB25" t="s">
        <v>1266</v>
      </c>
      <c r="AD25" t="s">
        <v>1268</v>
      </c>
      <c r="AE25" t="s">
        <v>1269</v>
      </c>
      <c r="AF25" t="s">
        <v>1270</v>
      </c>
    </row>
    <row r="26" spans="1:32" x14ac:dyDescent="0.25">
      <c r="B26">
        <v>458445</v>
      </c>
      <c r="C26" t="s">
        <v>1332</v>
      </c>
      <c r="D26" t="s">
        <v>1257</v>
      </c>
      <c r="E26" t="s">
        <v>1258</v>
      </c>
      <c r="F26" t="s">
        <v>1259</v>
      </c>
      <c r="G26">
        <v>20000</v>
      </c>
      <c r="H26">
        <v>0</v>
      </c>
      <c r="I26">
        <v>82</v>
      </c>
      <c r="J26">
        <v>0</v>
      </c>
      <c r="K26">
        <v>1</v>
      </c>
      <c r="L26">
        <v>0</v>
      </c>
      <c r="M26">
        <v>761775.68599999999</v>
      </c>
      <c r="N26" s="4">
        <v>46267</v>
      </c>
      <c r="O26" t="s">
        <v>1369</v>
      </c>
      <c r="P26" t="s">
        <v>1139</v>
      </c>
      <c r="S26" t="s">
        <v>1370</v>
      </c>
      <c r="T26" t="s">
        <v>1261</v>
      </c>
      <c r="U26" t="s">
        <v>1262</v>
      </c>
      <c r="V26">
        <v>525900</v>
      </c>
      <c r="W26" t="s">
        <v>1370</v>
      </c>
      <c r="X26" t="s">
        <v>1263</v>
      </c>
      <c r="Y26" t="s">
        <v>1371</v>
      </c>
      <c r="Z26" t="s">
        <v>1143</v>
      </c>
      <c r="AA26" s="5">
        <v>46267.458333333336</v>
      </c>
      <c r="AB26" t="s">
        <v>1266</v>
      </c>
      <c r="AD26" t="s">
        <v>1268</v>
      </c>
      <c r="AE26" t="s">
        <v>1269</v>
      </c>
      <c r="AF26" t="s">
        <v>1270</v>
      </c>
    </row>
    <row r="27" spans="1:32" x14ac:dyDescent="0.25">
      <c r="B27">
        <v>276585</v>
      </c>
      <c r="C27" t="s">
        <v>1362</v>
      </c>
      <c r="D27" t="s">
        <v>1257</v>
      </c>
      <c r="E27" t="s">
        <v>1258</v>
      </c>
      <c r="F27" t="s">
        <v>1259</v>
      </c>
      <c r="G27">
        <v>650</v>
      </c>
      <c r="H27">
        <v>0</v>
      </c>
      <c r="I27">
        <v>10</v>
      </c>
      <c r="J27">
        <v>0</v>
      </c>
      <c r="K27">
        <v>1</v>
      </c>
      <c r="L27">
        <v>0</v>
      </c>
      <c r="M27">
        <v>13108.36</v>
      </c>
      <c r="N27" s="4">
        <v>46267</v>
      </c>
      <c r="O27" t="s">
        <v>1372</v>
      </c>
      <c r="P27" t="s">
        <v>1135</v>
      </c>
      <c r="T27" t="s">
        <v>1261</v>
      </c>
      <c r="U27" t="s">
        <v>1262</v>
      </c>
      <c r="V27">
        <v>331711</v>
      </c>
      <c r="X27" t="s">
        <v>1263</v>
      </c>
      <c r="Y27" t="s">
        <v>1373</v>
      </c>
      <c r="Z27" t="s">
        <v>1374</v>
      </c>
      <c r="AA27" s="5">
        <v>46267.459722222222</v>
      </c>
      <c r="AB27" t="s">
        <v>1266</v>
      </c>
      <c r="AD27" t="s">
        <v>1268</v>
      </c>
      <c r="AE27" t="s">
        <v>1269</v>
      </c>
      <c r="AF27" t="s">
        <v>1270</v>
      </c>
    </row>
    <row r="28" spans="1:32" x14ac:dyDescent="0.25">
      <c r="A28">
        <v>756756</v>
      </c>
      <c r="B28">
        <v>358222</v>
      </c>
      <c r="C28" t="s">
        <v>1375</v>
      </c>
      <c r="D28" t="s">
        <v>1272</v>
      </c>
      <c r="F28" t="s">
        <v>1259</v>
      </c>
      <c r="G28">
        <v>3720</v>
      </c>
      <c r="H28">
        <v>0</v>
      </c>
      <c r="I28">
        <v>49</v>
      </c>
      <c r="J28">
        <v>0</v>
      </c>
      <c r="K28">
        <v>0</v>
      </c>
      <c r="L28">
        <v>0</v>
      </c>
      <c r="M28">
        <v>850.22</v>
      </c>
      <c r="N28" s="4">
        <v>46267</v>
      </c>
      <c r="O28" t="s">
        <v>1376</v>
      </c>
      <c r="P28" t="s">
        <v>1129</v>
      </c>
      <c r="S28" t="s">
        <v>1377</v>
      </c>
      <c r="T28" t="s">
        <v>1261</v>
      </c>
      <c r="U28" t="s">
        <v>1262</v>
      </c>
      <c r="V28">
        <v>4107991</v>
      </c>
      <c r="W28" t="s">
        <v>1377</v>
      </c>
      <c r="X28" t="s">
        <v>1263</v>
      </c>
      <c r="Y28" t="s">
        <v>1378</v>
      </c>
      <c r="Z28">
        <v>3</v>
      </c>
      <c r="AA28" s="5">
        <v>46267.47152777778</v>
      </c>
      <c r="AB28" t="s">
        <v>1266</v>
      </c>
      <c r="AC28" t="s">
        <v>1293</v>
      </c>
      <c r="AD28" t="s">
        <v>1268</v>
      </c>
      <c r="AE28" t="s">
        <v>1269</v>
      </c>
      <c r="AF28" t="s">
        <v>1270</v>
      </c>
    </row>
    <row r="29" spans="1:32" x14ac:dyDescent="0.25">
      <c r="B29">
        <v>1003020</v>
      </c>
      <c r="C29" t="s">
        <v>1379</v>
      </c>
      <c r="D29" t="s">
        <v>1380</v>
      </c>
      <c r="F29" t="s">
        <v>1259</v>
      </c>
      <c r="G29">
        <v>3860</v>
      </c>
      <c r="H29">
        <v>0</v>
      </c>
      <c r="I29">
        <v>49</v>
      </c>
      <c r="J29">
        <v>38.6</v>
      </c>
      <c r="K29">
        <v>0</v>
      </c>
      <c r="L29">
        <v>0</v>
      </c>
      <c r="M29">
        <v>41918.93</v>
      </c>
      <c r="N29" s="4">
        <v>46267</v>
      </c>
      <c r="O29" t="s">
        <v>1381</v>
      </c>
      <c r="P29" t="s">
        <v>1127</v>
      </c>
      <c r="S29" t="s">
        <v>1382</v>
      </c>
      <c r="T29" t="s">
        <v>1261</v>
      </c>
      <c r="U29" t="s">
        <v>1262</v>
      </c>
      <c r="V29">
        <v>1003020</v>
      </c>
      <c r="W29" t="s">
        <v>1382</v>
      </c>
      <c r="X29" t="s">
        <v>1263</v>
      </c>
      <c r="Y29" t="s">
        <v>1383</v>
      </c>
      <c r="Z29" t="s">
        <v>1384</v>
      </c>
      <c r="AA29" s="5">
        <v>46267.481944444444</v>
      </c>
      <c r="AB29" t="s">
        <v>1266</v>
      </c>
      <c r="AD29" t="s">
        <v>1268</v>
      </c>
      <c r="AE29" t="s">
        <v>1269</v>
      </c>
      <c r="AF29" t="s">
        <v>1270</v>
      </c>
    </row>
    <row r="30" spans="1:32" x14ac:dyDescent="0.25">
      <c r="A30">
        <v>756756</v>
      </c>
      <c r="B30">
        <v>254708619405</v>
      </c>
      <c r="C30" t="s">
        <v>1385</v>
      </c>
      <c r="D30" t="s">
        <v>1386</v>
      </c>
      <c r="F30" t="s">
        <v>1259</v>
      </c>
      <c r="G30">
        <v>150</v>
      </c>
      <c r="H30">
        <v>0</v>
      </c>
      <c r="I30">
        <v>10</v>
      </c>
      <c r="J30">
        <v>0</v>
      </c>
      <c r="K30">
        <v>0</v>
      </c>
      <c r="L30">
        <v>0</v>
      </c>
      <c r="M30">
        <v>1272</v>
      </c>
      <c r="N30" s="4">
        <v>46267</v>
      </c>
      <c r="O30" t="s">
        <v>1387</v>
      </c>
      <c r="P30" t="s">
        <v>1123</v>
      </c>
      <c r="T30" t="s">
        <v>1261</v>
      </c>
      <c r="U30" t="s">
        <v>1262</v>
      </c>
      <c r="V30">
        <v>9981521</v>
      </c>
      <c r="X30" t="s">
        <v>1263</v>
      </c>
      <c r="Y30" t="s">
        <v>1388</v>
      </c>
      <c r="Z30" t="s">
        <v>1388</v>
      </c>
      <c r="AA30" s="5">
        <v>46267.48333333333</v>
      </c>
      <c r="AB30" t="s">
        <v>1266</v>
      </c>
      <c r="AC30" t="s">
        <v>1293</v>
      </c>
      <c r="AD30" t="s">
        <v>1268</v>
      </c>
      <c r="AE30" t="s">
        <v>1269</v>
      </c>
      <c r="AF30" t="s">
        <v>1270</v>
      </c>
    </row>
    <row r="31" spans="1:32" x14ac:dyDescent="0.25">
      <c r="A31">
        <v>756756</v>
      </c>
      <c r="B31">
        <v>205756</v>
      </c>
      <c r="C31" t="s">
        <v>1389</v>
      </c>
      <c r="D31" t="s">
        <v>1320</v>
      </c>
      <c r="F31" t="s">
        <v>1259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364.59</v>
      </c>
      <c r="N31" s="4">
        <v>46267</v>
      </c>
      <c r="O31" t="s">
        <v>1390</v>
      </c>
      <c r="P31" t="s">
        <v>1119</v>
      </c>
      <c r="T31" t="s">
        <v>1261</v>
      </c>
      <c r="U31" t="s">
        <v>1262</v>
      </c>
      <c r="V31">
        <v>5047675</v>
      </c>
      <c r="X31" t="s">
        <v>1263</v>
      </c>
      <c r="Y31" t="s">
        <v>1391</v>
      </c>
      <c r="Z31" t="s">
        <v>1391</v>
      </c>
      <c r="AA31" s="5">
        <v>46267.488194444442</v>
      </c>
      <c r="AB31" t="s">
        <v>1266</v>
      </c>
      <c r="AC31" t="s">
        <v>1293</v>
      </c>
      <c r="AD31" t="s">
        <v>1268</v>
      </c>
      <c r="AE31" t="s">
        <v>1269</v>
      </c>
      <c r="AF31" t="s">
        <v>1270</v>
      </c>
    </row>
    <row r="32" spans="1:32" x14ac:dyDescent="0.25">
      <c r="B32">
        <v>520420</v>
      </c>
      <c r="C32" t="s">
        <v>1392</v>
      </c>
      <c r="D32" t="s">
        <v>1286</v>
      </c>
      <c r="F32" t="s">
        <v>1259</v>
      </c>
      <c r="G32">
        <v>49350</v>
      </c>
      <c r="H32">
        <v>0</v>
      </c>
      <c r="I32">
        <v>15</v>
      </c>
      <c r="J32">
        <v>15</v>
      </c>
      <c r="K32">
        <v>0</v>
      </c>
      <c r="L32">
        <v>0</v>
      </c>
      <c r="M32">
        <v>90985.224000000002</v>
      </c>
      <c r="N32" s="4">
        <v>46267</v>
      </c>
      <c r="O32" t="s">
        <v>1393</v>
      </c>
      <c r="P32" t="s">
        <v>1115</v>
      </c>
      <c r="T32" t="s">
        <v>1261</v>
      </c>
      <c r="U32" t="s">
        <v>1262</v>
      </c>
      <c r="V32">
        <v>520420</v>
      </c>
      <c r="X32" t="s">
        <v>1263</v>
      </c>
      <c r="Y32" t="s">
        <v>1394</v>
      </c>
      <c r="Z32" t="s">
        <v>1395</v>
      </c>
      <c r="AA32" s="5">
        <v>46267.488194444442</v>
      </c>
      <c r="AB32" t="s">
        <v>1266</v>
      </c>
      <c r="AD32" t="s">
        <v>1268</v>
      </c>
      <c r="AE32" t="s">
        <v>1269</v>
      </c>
      <c r="AF32" t="s">
        <v>1270</v>
      </c>
    </row>
    <row r="33" spans="1:32" x14ac:dyDescent="0.25">
      <c r="B33">
        <v>118594</v>
      </c>
      <c r="C33" t="s">
        <v>1396</v>
      </c>
      <c r="D33" t="s">
        <v>1257</v>
      </c>
      <c r="E33" t="s">
        <v>1397</v>
      </c>
      <c r="F33" t="s">
        <v>1259</v>
      </c>
      <c r="G33">
        <v>960</v>
      </c>
      <c r="H33">
        <v>0</v>
      </c>
      <c r="I33">
        <v>20</v>
      </c>
      <c r="J33">
        <v>0</v>
      </c>
      <c r="K33">
        <v>1</v>
      </c>
      <c r="L33">
        <v>0</v>
      </c>
      <c r="M33">
        <v>42846.58</v>
      </c>
      <c r="N33" s="4">
        <v>46267</v>
      </c>
      <c r="O33" t="s">
        <v>1398</v>
      </c>
      <c r="P33" t="s">
        <v>1111</v>
      </c>
      <c r="S33" t="s">
        <v>1399</v>
      </c>
      <c r="T33" t="s">
        <v>1261</v>
      </c>
      <c r="U33" t="s">
        <v>1262</v>
      </c>
      <c r="V33">
        <v>522533</v>
      </c>
      <c r="W33" t="s">
        <v>1399</v>
      </c>
      <c r="X33" t="s">
        <v>1263</v>
      </c>
      <c r="Y33" t="s">
        <v>1400</v>
      </c>
      <c r="Z33">
        <v>7881524</v>
      </c>
      <c r="AA33" s="5">
        <v>46267.488888888889</v>
      </c>
      <c r="AB33" t="s">
        <v>1266</v>
      </c>
      <c r="AD33" t="s">
        <v>1268</v>
      </c>
      <c r="AE33" t="s">
        <v>1269</v>
      </c>
      <c r="AF33" t="s">
        <v>1270</v>
      </c>
    </row>
    <row r="34" spans="1:32" x14ac:dyDescent="0.25">
      <c r="B34">
        <v>1606341</v>
      </c>
      <c r="C34" t="s">
        <v>1401</v>
      </c>
      <c r="D34" t="s">
        <v>1286</v>
      </c>
      <c r="F34" t="s">
        <v>1259</v>
      </c>
      <c r="G34">
        <v>675</v>
      </c>
      <c r="H34">
        <v>0</v>
      </c>
      <c r="I34">
        <v>10</v>
      </c>
      <c r="J34">
        <v>2</v>
      </c>
      <c r="K34">
        <v>0</v>
      </c>
      <c r="L34">
        <v>0</v>
      </c>
      <c r="M34">
        <v>312</v>
      </c>
      <c r="N34" s="4">
        <v>46267</v>
      </c>
      <c r="O34" t="s">
        <v>1402</v>
      </c>
      <c r="P34" t="s">
        <v>1107</v>
      </c>
      <c r="T34" t="s">
        <v>1261</v>
      </c>
      <c r="U34" t="s">
        <v>1262</v>
      </c>
      <c r="V34">
        <v>1606341</v>
      </c>
      <c r="X34" t="s">
        <v>1263</v>
      </c>
      <c r="Y34" t="s">
        <v>1403</v>
      </c>
      <c r="Z34" t="s">
        <v>1404</v>
      </c>
      <c r="AA34" s="5">
        <v>46267.491666666669</v>
      </c>
      <c r="AB34" t="s">
        <v>1266</v>
      </c>
      <c r="AD34" t="s">
        <v>1268</v>
      </c>
      <c r="AE34" t="s">
        <v>1269</v>
      </c>
      <c r="AF34" t="s">
        <v>1270</v>
      </c>
    </row>
    <row r="35" spans="1:32" x14ac:dyDescent="0.25">
      <c r="A35">
        <v>756756</v>
      </c>
      <c r="B35">
        <v>254742451519</v>
      </c>
      <c r="C35" t="s">
        <v>1405</v>
      </c>
      <c r="D35" t="s">
        <v>1286</v>
      </c>
      <c r="F35" t="s">
        <v>1259</v>
      </c>
      <c r="G35">
        <v>18000</v>
      </c>
      <c r="H35">
        <v>0</v>
      </c>
      <c r="I35">
        <v>80</v>
      </c>
      <c r="J35">
        <v>0</v>
      </c>
      <c r="K35">
        <v>0</v>
      </c>
      <c r="L35">
        <v>0</v>
      </c>
      <c r="M35">
        <v>49363</v>
      </c>
      <c r="N35" s="4">
        <v>46267</v>
      </c>
      <c r="O35" t="s">
        <v>1406</v>
      </c>
      <c r="P35" t="s">
        <v>1102</v>
      </c>
      <c r="S35" t="s">
        <v>1407</v>
      </c>
      <c r="T35" t="s">
        <v>1261</v>
      </c>
      <c r="U35" t="s">
        <v>1262</v>
      </c>
      <c r="V35">
        <v>400200</v>
      </c>
      <c r="W35" t="s">
        <v>1407</v>
      </c>
      <c r="X35" t="s">
        <v>1263</v>
      </c>
      <c r="Y35" t="s">
        <v>1408</v>
      </c>
      <c r="Z35" s="6" t="s">
        <v>1106</v>
      </c>
      <c r="AA35" s="5">
        <v>46267.504861111112</v>
      </c>
      <c r="AB35" t="s">
        <v>1266</v>
      </c>
      <c r="AC35" t="s">
        <v>1293</v>
      </c>
      <c r="AD35" t="s">
        <v>1268</v>
      </c>
      <c r="AE35" t="s">
        <v>1269</v>
      </c>
      <c r="AF35" t="s">
        <v>1270</v>
      </c>
    </row>
    <row r="36" spans="1:32" x14ac:dyDescent="0.25">
      <c r="A36">
        <v>756756</v>
      </c>
      <c r="B36">
        <v>254742451519</v>
      </c>
      <c r="C36" t="s">
        <v>1405</v>
      </c>
      <c r="D36" t="s">
        <v>1286</v>
      </c>
      <c r="F36" t="s">
        <v>1259</v>
      </c>
      <c r="G36">
        <v>25000</v>
      </c>
      <c r="H36">
        <v>0</v>
      </c>
      <c r="I36">
        <v>87</v>
      </c>
      <c r="J36">
        <v>0</v>
      </c>
      <c r="K36">
        <v>0</v>
      </c>
      <c r="L36">
        <v>0</v>
      </c>
      <c r="M36">
        <v>21756</v>
      </c>
      <c r="N36" s="4">
        <v>46267</v>
      </c>
      <c r="O36" t="s">
        <v>1409</v>
      </c>
      <c r="P36" t="s">
        <v>1097</v>
      </c>
      <c r="S36" t="s">
        <v>1410</v>
      </c>
      <c r="T36" t="s">
        <v>1261</v>
      </c>
      <c r="U36" t="s">
        <v>1262</v>
      </c>
      <c r="V36">
        <v>823244</v>
      </c>
      <c r="W36" t="s">
        <v>1410</v>
      </c>
      <c r="X36" t="s">
        <v>1263</v>
      </c>
      <c r="Y36" t="s">
        <v>1411</v>
      </c>
      <c r="Z36">
        <v>801047054501</v>
      </c>
      <c r="AA36" s="5">
        <v>46267.506944444445</v>
      </c>
      <c r="AB36" t="s">
        <v>1266</v>
      </c>
      <c r="AC36" t="s">
        <v>1293</v>
      </c>
      <c r="AD36" t="s">
        <v>1268</v>
      </c>
      <c r="AE36" t="s">
        <v>1269</v>
      </c>
      <c r="AF36" t="s">
        <v>1270</v>
      </c>
    </row>
    <row r="37" spans="1:32" x14ac:dyDescent="0.25">
      <c r="A37">
        <v>756756</v>
      </c>
      <c r="B37">
        <v>1116456</v>
      </c>
      <c r="C37" t="s">
        <v>1412</v>
      </c>
      <c r="D37" t="s">
        <v>1320</v>
      </c>
      <c r="F37" t="s">
        <v>1259</v>
      </c>
      <c r="G37">
        <v>500</v>
      </c>
      <c r="H37">
        <v>0</v>
      </c>
      <c r="I37">
        <v>10</v>
      </c>
      <c r="J37">
        <v>0</v>
      </c>
      <c r="K37">
        <v>0</v>
      </c>
      <c r="L37">
        <v>0</v>
      </c>
      <c r="M37">
        <v>61160.02</v>
      </c>
      <c r="N37" s="4">
        <v>46267</v>
      </c>
      <c r="O37" t="s">
        <v>1413</v>
      </c>
      <c r="P37" t="s">
        <v>1093</v>
      </c>
      <c r="T37" t="s">
        <v>1261</v>
      </c>
      <c r="U37" t="s">
        <v>1262</v>
      </c>
      <c r="V37">
        <v>4106574</v>
      </c>
      <c r="X37" t="s">
        <v>1263</v>
      </c>
      <c r="Y37" t="s">
        <v>1414</v>
      </c>
      <c r="Z37" t="s">
        <v>1414</v>
      </c>
      <c r="AA37" s="5">
        <v>46267.512499999997</v>
      </c>
      <c r="AB37" t="s">
        <v>1266</v>
      </c>
      <c r="AC37" t="s">
        <v>1293</v>
      </c>
      <c r="AD37" t="s">
        <v>1268</v>
      </c>
      <c r="AE37" t="s">
        <v>1269</v>
      </c>
      <c r="AF37" t="s">
        <v>1270</v>
      </c>
    </row>
    <row r="38" spans="1:32" x14ac:dyDescent="0.25">
      <c r="B38">
        <v>110311</v>
      </c>
      <c r="C38" t="s">
        <v>1415</v>
      </c>
      <c r="D38" t="s">
        <v>1416</v>
      </c>
      <c r="E38" t="s">
        <v>1258</v>
      </c>
      <c r="F38" t="s">
        <v>1259</v>
      </c>
      <c r="G38">
        <v>20000</v>
      </c>
      <c r="H38">
        <v>0</v>
      </c>
      <c r="I38">
        <v>80</v>
      </c>
      <c r="J38">
        <v>0</v>
      </c>
      <c r="K38">
        <v>1</v>
      </c>
      <c r="L38">
        <v>0</v>
      </c>
      <c r="M38">
        <v>828713</v>
      </c>
      <c r="N38" s="4">
        <v>46267</v>
      </c>
      <c r="O38" t="s">
        <v>1417</v>
      </c>
      <c r="P38" t="s">
        <v>1087</v>
      </c>
      <c r="S38" t="s">
        <v>1418</v>
      </c>
      <c r="T38" t="s">
        <v>1261</v>
      </c>
      <c r="U38" t="s">
        <v>1262</v>
      </c>
      <c r="V38">
        <v>910200</v>
      </c>
      <c r="W38" t="s">
        <v>1418</v>
      </c>
      <c r="X38" t="s">
        <v>1263</v>
      </c>
      <c r="Y38" t="s">
        <v>1419</v>
      </c>
      <c r="Z38">
        <v>2210003653</v>
      </c>
      <c r="AA38" s="5">
        <v>46267.515277777777</v>
      </c>
      <c r="AB38" t="s">
        <v>1266</v>
      </c>
      <c r="AD38" t="s">
        <v>1268</v>
      </c>
      <c r="AE38" t="s">
        <v>1269</v>
      </c>
      <c r="AF38" t="s">
        <v>1270</v>
      </c>
    </row>
    <row r="39" spans="1:32" x14ac:dyDescent="0.25">
      <c r="B39">
        <v>453498</v>
      </c>
      <c r="C39" t="s">
        <v>1420</v>
      </c>
      <c r="D39" t="s">
        <v>1286</v>
      </c>
      <c r="F39" t="s">
        <v>1259</v>
      </c>
      <c r="G39">
        <v>300</v>
      </c>
      <c r="H39">
        <v>0</v>
      </c>
      <c r="I39">
        <v>10</v>
      </c>
      <c r="J39">
        <v>2</v>
      </c>
      <c r="K39">
        <v>0</v>
      </c>
      <c r="L39">
        <v>0</v>
      </c>
      <c r="M39">
        <v>10003</v>
      </c>
      <c r="N39" s="4">
        <v>46267</v>
      </c>
      <c r="O39" t="s">
        <v>1421</v>
      </c>
      <c r="P39" t="s">
        <v>1083</v>
      </c>
      <c r="T39" t="s">
        <v>1261</v>
      </c>
      <c r="U39" t="s">
        <v>1262</v>
      </c>
      <c r="V39">
        <v>453498</v>
      </c>
      <c r="X39" t="s">
        <v>1263</v>
      </c>
      <c r="Y39" t="s">
        <v>1422</v>
      </c>
      <c r="Z39" t="s">
        <v>1423</v>
      </c>
      <c r="AA39" s="5">
        <v>46267.518055555556</v>
      </c>
      <c r="AB39" t="s">
        <v>1266</v>
      </c>
      <c r="AD39" t="s">
        <v>1268</v>
      </c>
      <c r="AE39" t="s">
        <v>1269</v>
      </c>
      <c r="AF39" t="s">
        <v>1270</v>
      </c>
    </row>
    <row r="40" spans="1:32" x14ac:dyDescent="0.25">
      <c r="B40">
        <v>9235</v>
      </c>
      <c r="C40" t="s">
        <v>1424</v>
      </c>
      <c r="D40" t="s">
        <v>1257</v>
      </c>
      <c r="E40" t="s">
        <v>1258</v>
      </c>
      <c r="F40" t="s">
        <v>1259</v>
      </c>
      <c r="G40">
        <v>8060</v>
      </c>
      <c r="H40">
        <v>0</v>
      </c>
      <c r="I40">
        <v>63</v>
      </c>
      <c r="J40">
        <v>0</v>
      </c>
      <c r="K40">
        <v>1</v>
      </c>
      <c r="L40">
        <v>0</v>
      </c>
      <c r="M40">
        <v>360317</v>
      </c>
      <c r="N40" s="4">
        <v>46267</v>
      </c>
      <c r="O40" t="s">
        <v>1425</v>
      </c>
      <c r="P40" t="s">
        <v>1079</v>
      </c>
      <c r="S40" t="s">
        <v>1426</v>
      </c>
      <c r="T40" t="s">
        <v>1261</v>
      </c>
      <c r="U40" t="s">
        <v>1262</v>
      </c>
      <c r="V40">
        <v>639498</v>
      </c>
      <c r="W40" t="s">
        <v>1426</v>
      </c>
      <c r="X40" t="s">
        <v>1263</v>
      </c>
      <c r="Y40" t="s">
        <v>1427</v>
      </c>
      <c r="Z40" t="s">
        <v>1428</v>
      </c>
      <c r="AA40" s="5">
        <v>46267.518750000003</v>
      </c>
      <c r="AB40" t="s">
        <v>1266</v>
      </c>
      <c r="AC40" t="s">
        <v>1267</v>
      </c>
      <c r="AD40" t="s">
        <v>1268</v>
      </c>
      <c r="AE40" t="s">
        <v>1269</v>
      </c>
      <c r="AF40" t="s">
        <v>1270</v>
      </c>
    </row>
    <row r="41" spans="1:32" x14ac:dyDescent="0.25">
      <c r="B41">
        <v>9235</v>
      </c>
      <c r="C41" t="s">
        <v>1424</v>
      </c>
      <c r="D41" t="s">
        <v>1257</v>
      </c>
      <c r="E41" t="s">
        <v>1258</v>
      </c>
      <c r="F41" t="s">
        <v>1259</v>
      </c>
      <c r="G41">
        <v>6290</v>
      </c>
      <c r="H41">
        <v>0</v>
      </c>
      <c r="I41">
        <v>57</v>
      </c>
      <c r="J41">
        <v>0</v>
      </c>
      <c r="K41">
        <v>1</v>
      </c>
      <c r="L41">
        <v>0</v>
      </c>
      <c r="M41">
        <v>353969</v>
      </c>
      <c r="N41" s="4">
        <v>46267</v>
      </c>
      <c r="O41" t="s">
        <v>1429</v>
      </c>
      <c r="P41" t="s">
        <v>1076</v>
      </c>
      <c r="S41" t="s">
        <v>1426</v>
      </c>
      <c r="T41" t="s">
        <v>1261</v>
      </c>
      <c r="U41" t="s">
        <v>1262</v>
      </c>
      <c r="V41">
        <v>639498</v>
      </c>
      <c r="W41" t="s">
        <v>1426</v>
      </c>
      <c r="X41" t="s">
        <v>1263</v>
      </c>
      <c r="Y41" t="s">
        <v>1430</v>
      </c>
      <c r="Z41" t="s">
        <v>1431</v>
      </c>
      <c r="AA41" s="5">
        <v>46267.518750000003</v>
      </c>
      <c r="AB41" t="s">
        <v>1266</v>
      </c>
      <c r="AC41" t="s">
        <v>1267</v>
      </c>
      <c r="AD41" t="s">
        <v>1268</v>
      </c>
      <c r="AE41" t="s">
        <v>1269</v>
      </c>
      <c r="AF41" t="s">
        <v>1270</v>
      </c>
    </row>
    <row r="42" spans="1:32" x14ac:dyDescent="0.25">
      <c r="B42">
        <v>9235</v>
      </c>
      <c r="C42" t="s">
        <v>1424</v>
      </c>
      <c r="D42" t="s">
        <v>1257</v>
      </c>
      <c r="E42" t="s">
        <v>1258</v>
      </c>
      <c r="F42" t="s">
        <v>1259</v>
      </c>
      <c r="G42">
        <v>82390</v>
      </c>
      <c r="H42">
        <v>0</v>
      </c>
      <c r="I42">
        <v>136</v>
      </c>
      <c r="J42">
        <v>0</v>
      </c>
      <c r="K42">
        <v>1</v>
      </c>
      <c r="L42">
        <v>0</v>
      </c>
      <c r="M42">
        <v>262223.8</v>
      </c>
      <c r="N42" s="4">
        <v>46267</v>
      </c>
      <c r="O42" t="s">
        <v>1432</v>
      </c>
      <c r="P42" t="s">
        <v>1072</v>
      </c>
      <c r="S42" t="s">
        <v>1426</v>
      </c>
      <c r="T42" t="s">
        <v>1261</v>
      </c>
      <c r="U42" t="s">
        <v>1262</v>
      </c>
      <c r="V42">
        <v>639498</v>
      </c>
      <c r="W42" t="s">
        <v>1426</v>
      </c>
      <c r="X42" t="s">
        <v>1263</v>
      </c>
      <c r="Y42" t="s">
        <v>1433</v>
      </c>
      <c r="Z42" t="s">
        <v>1434</v>
      </c>
      <c r="AA42" s="5">
        <v>46267.518750000003</v>
      </c>
      <c r="AB42" t="s">
        <v>1266</v>
      </c>
      <c r="AC42" t="s">
        <v>1267</v>
      </c>
      <c r="AD42" t="s">
        <v>1268</v>
      </c>
      <c r="AE42" t="s">
        <v>1269</v>
      </c>
      <c r="AF42" t="s">
        <v>1270</v>
      </c>
    </row>
    <row r="43" spans="1:32" x14ac:dyDescent="0.25">
      <c r="B43">
        <v>9235</v>
      </c>
      <c r="C43" t="s">
        <v>1424</v>
      </c>
      <c r="D43" t="s">
        <v>1257</v>
      </c>
      <c r="E43" t="s">
        <v>1258</v>
      </c>
      <c r="F43" t="s">
        <v>1259</v>
      </c>
      <c r="G43">
        <v>37690</v>
      </c>
      <c r="H43">
        <v>0</v>
      </c>
      <c r="I43">
        <v>125</v>
      </c>
      <c r="J43">
        <v>0</v>
      </c>
      <c r="K43">
        <v>1</v>
      </c>
      <c r="L43">
        <v>0</v>
      </c>
      <c r="M43">
        <v>224407.8</v>
      </c>
      <c r="N43" s="4">
        <v>46267</v>
      </c>
      <c r="O43" t="s">
        <v>1435</v>
      </c>
      <c r="P43" t="s">
        <v>1063</v>
      </c>
      <c r="S43" t="s">
        <v>1426</v>
      </c>
      <c r="T43" t="s">
        <v>1261</v>
      </c>
      <c r="U43" t="s">
        <v>1262</v>
      </c>
      <c r="V43">
        <v>639498</v>
      </c>
      <c r="W43" t="s">
        <v>1426</v>
      </c>
      <c r="X43" t="s">
        <v>1263</v>
      </c>
      <c r="Y43" t="s">
        <v>1436</v>
      </c>
      <c r="Z43" t="s">
        <v>1437</v>
      </c>
      <c r="AA43" s="5">
        <v>46267.518750000003</v>
      </c>
      <c r="AB43" t="s">
        <v>1266</v>
      </c>
      <c r="AC43" t="s">
        <v>1267</v>
      </c>
      <c r="AD43" t="s">
        <v>1268</v>
      </c>
      <c r="AE43" t="s">
        <v>1269</v>
      </c>
      <c r="AF43" t="s">
        <v>1270</v>
      </c>
    </row>
    <row r="44" spans="1:32" x14ac:dyDescent="0.25">
      <c r="B44">
        <v>9235</v>
      </c>
      <c r="C44" t="s">
        <v>1424</v>
      </c>
      <c r="D44" t="s">
        <v>1257</v>
      </c>
      <c r="E44" t="s">
        <v>1258</v>
      </c>
      <c r="F44" t="s">
        <v>1259</v>
      </c>
      <c r="G44">
        <v>13927</v>
      </c>
      <c r="H44">
        <v>0</v>
      </c>
      <c r="I44">
        <v>72</v>
      </c>
      <c r="J44">
        <v>0</v>
      </c>
      <c r="K44">
        <v>1</v>
      </c>
      <c r="L44">
        <v>0</v>
      </c>
      <c r="M44">
        <v>210407.8</v>
      </c>
      <c r="N44" s="4">
        <v>46267</v>
      </c>
      <c r="O44" t="s">
        <v>1438</v>
      </c>
      <c r="P44" t="s">
        <v>1069</v>
      </c>
      <c r="S44" t="s">
        <v>1426</v>
      </c>
      <c r="T44" t="s">
        <v>1261</v>
      </c>
      <c r="U44" t="s">
        <v>1262</v>
      </c>
      <c r="V44">
        <v>639498</v>
      </c>
      <c r="W44" t="s">
        <v>1426</v>
      </c>
      <c r="X44" t="s">
        <v>1263</v>
      </c>
      <c r="Y44" t="s">
        <v>1439</v>
      </c>
      <c r="Z44" t="s">
        <v>1440</v>
      </c>
      <c r="AA44" s="5">
        <v>46267.518750000003</v>
      </c>
      <c r="AB44" t="s">
        <v>1266</v>
      </c>
      <c r="AC44" t="s">
        <v>1267</v>
      </c>
      <c r="AD44" t="s">
        <v>1268</v>
      </c>
      <c r="AE44" t="s">
        <v>1269</v>
      </c>
      <c r="AF44" t="s">
        <v>1270</v>
      </c>
    </row>
    <row r="45" spans="1:32" x14ac:dyDescent="0.25">
      <c r="B45">
        <v>9235</v>
      </c>
      <c r="C45" t="s">
        <v>1424</v>
      </c>
      <c r="D45" t="s">
        <v>1257</v>
      </c>
      <c r="E45" t="s">
        <v>1258</v>
      </c>
      <c r="F45" t="s">
        <v>1259</v>
      </c>
      <c r="G45">
        <v>1765</v>
      </c>
      <c r="H45">
        <v>0</v>
      </c>
      <c r="I45">
        <v>35</v>
      </c>
      <c r="J45">
        <v>0</v>
      </c>
      <c r="K45">
        <v>1</v>
      </c>
      <c r="L45">
        <v>0</v>
      </c>
      <c r="M45">
        <v>208606.8</v>
      </c>
      <c r="N45" s="4">
        <v>46267</v>
      </c>
      <c r="O45" t="s">
        <v>1441</v>
      </c>
      <c r="P45" t="s">
        <v>1056</v>
      </c>
      <c r="S45" t="s">
        <v>1426</v>
      </c>
      <c r="T45" t="s">
        <v>1261</v>
      </c>
      <c r="U45" t="s">
        <v>1262</v>
      </c>
      <c r="V45">
        <v>639498</v>
      </c>
      <c r="W45" t="s">
        <v>1426</v>
      </c>
      <c r="X45" t="s">
        <v>1263</v>
      </c>
      <c r="Y45" t="s">
        <v>1442</v>
      </c>
      <c r="Z45" t="s">
        <v>1443</v>
      </c>
      <c r="AA45" s="5">
        <v>46267.518750000003</v>
      </c>
      <c r="AB45" t="s">
        <v>1266</v>
      </c>
      <c r="AC45" t="s">
        <v>1267</v>
      </c>
      <c r="AD45" t="s">
        <v>1268</v>
      </c>
      <c r="AE45" t="s">
        <v>1269</v>
      </c>
      <c r="AF45" t="s">
        <v>1270</v>
      </c>
    </row>
    <row r="46" spans="1:32" x14ac:dyDescent="0.25">
      <c r="B46">
        <v>9235</v>
      </c>
      <c r="C46" t="s">
        <v>1424</v>
      </c>
      <c r="D46" t="s">
        <v>1257</v>
      </c>
      <c r="E46" t="s">
        <v>1258</v>
      </c>
      <c r="F46" t="s">
        <v>1259</v>
      </c>
      <c r="G46">
        <v>13001</v>
      </c>
      <c r="H46">
        <v>0</v>
      </c>
      <c r="I46">
        <v>72</v>
      </c>
      <c r="J46">
        <v>0</v>
      </c>
      <c r="K46">
        <v>1</v>
      </c>
      <c r="L46">
        <v>0</v>
      </c>
      <c r="M46">
        <v>195532.79999999999</v>
      </c>
      <c r="N46" s="4">
        <v>46267</v>
      </c>
      <c r="O46" t="s">
        <v>1444</v>
      </c>
      <c r="P46" t="s">
        <v>1066</v>
      </c>
      <c r="S46" t="s">
        <v>1426</v>
      </c>
      <c r="T46" t="s">
        <v>1261</v>
      </c>
      <c r="U46" t="s">
        <v>1262</v>
      </c>
      <c r="V46">
        <v>639498</v>
      </c>
      <c r="W46" t="s">
        <v>1426</v>
      </c>
      <c r="X46" t="s">
        <v>1263</v>
      </c>
      <c r="Y46" t="s">
        <v>1445</v>
      </c>
      <c r="Z46" t="s">
        <v>1446</v>
      </c>
      <c r="AA46" s="5">
        <v>46267.518750000003</v>
      </c>
      <c r="AB46" t="s">
        <v>1266</v>
      </c>
      <c r="AC46" t="s">
        <v>1267</v>
      </c>
      <c r="AD46" t="s">
        <v>1268</v>
      </c>
      <c r="AE46" t="s">
        <v>1269</v>
      </c>
      <c r="AF46" t="s">
        <v>1270</v>
      </c>
    </row>
    <row r="47" spans="1:32" x14ac:dyDescent="0.25">
      <c r="B47">
        <v>9235</v>
      </c>
      <c r="C47" t="s">
        <v>1424</v>
      </c>
      <c r="D47" t="s">
        <v>1257</v>
      </c>
      <c r="E47" t="s">
        <v>1258</v>
      </c>
      <c r="F47" t="s">
        <v>1259</v>
      </c>
      <c r="G47">
        <v>7408</v>
      </c>
      <c r="H47">
        <v>0</v>
      </c>
      <c r="I47">
        <v>57</v>
      </c>
      <c r="J47">
        <v>0</v>
      </c>
      <c r="K47">
        <v>1</v>
      </c>
      <c r="L47">
        <v>0</v>
      </c>
      <c r="M47">
        <v>188066.8</v>
      </c>
      <c r="N47" s="4">
        <v>46267</v>
      </c>
      <c r="O47" t="s">
        <v>1447</v>
      </c>
      <c r="P47" t="s">
        <v>1059</v>
      </c>
      <c r="S47" t="s">
        <v>1426</v>
      </c>
      <c r="T47" t="s">
        <v>1261</v>
      </c>
      <c r="U47" t="s">
        <v>1262</v>
      </c>
      <c r="V47">
        <v>639498</v>
      </c>
      <c r="W47" t="s">
        <v>1426</v>
      </c>
      <c r="X47" t="s">
        <v>1263</v>
      </c>
      <c r="Y47" t="s">
        <v>1448</v>
      </c>
      <c r="Z47" t="s">
        <v>1449</v>
      </c>
      <c r="AA47" s="5">
        <v>46267.518750000003</v>
      </c>
      <c r="AB47" t="s">
        <v>1266</v>
      </c>
      <c r="AC47" t="s">
        <v>1267</v>
      </c>
      <c r="AD47" t="s">
        <v>1268</v>
      </c>
      <c r="AE47" t="s">
        <v>1269</v>
      </c>
      <c r="AF47" t="s">
        <v>1270</v>
      </c>
    </row>
    <row r="48" spans="1:32" x14ac:dyDescent="0.25">
      <c r="B48">
        <v>9235</v>
      </c>
      <c r="C48" t="s">
        <v>1424</v>
      </c>
      <c r="D48" t="s">
        <v>1257</v>
      </c>
      <c r="E48" t="s">
        <v>1258</v>
      </c>
      <c r="F48" t="s">
        <v>1259</v>
      </c>
      <c r="G48">
        <v>6935</v>
      </c>
      <c r="H48">
        <v>0</v>
      </c>
      <c r="I48">
        <v>57</v>
      </c>
      <c r="J48">
        <v>0</v>
      </c>
      <c r="K48">
        <v>1</v>
      </c>
      <c r="L48">
        <v>0</v>
      </c>
      <c r="M48">
        <v>181073.8</v>
      </c>
      <c r="N48" s="4">
        <v>46267</v>
      </c>
      <c r="O48" t="s">
        <v>1450</v>
      </c>
      <c r="P48" t="s">
        <v>1032</v>
      </c>
      <c r="S48" t="s">
        <v>1451</v>
      </c>
      <c r="T48" t="s">
        <v>1261</v>
      </c>
      <c r="U48" t="s">
        <v>1262</v>
      </c>
      <c r="V48">
        <v>644700</v>
      </c>
      <c r="W48" t="s">
        <v>1451</v>
      </c>
      <c r="X48" t="s">
        <v>1263</v>
      </c>
      <c r="Y48" t="s">
        <v>1452</v>
      </c>
      <c r="Z48" t="s">
        <v>1453</v>
      </c>
      <c r="AA48" s="5">
        <v>46267.518750000003</v>
      </c>
      <c r="AB48" t="s">
        <v>1266</v>
      </c>
      <c r="AC48" t="s">
        <v>1267</v>
      </c>
      <c r="AD48" t="s">
        <v>1268</v>
      </c>
      <c r="AE48" t="s">
        <v>1269</v>
      </c>
      <c r="AF48" t="s">
        <v>1270</v>
      </c>
    </row>
    <row r="49" spans="2:32" x14ac:dyDescent="0.25">
      <c r="B49">
        <v>9235</v>
      </c>
      <c r="C49" t="s">
        <v>1424</v>
      </c>
      <c r="D49" t="s">
        <v>1257</v>
      </c>
      <c r="E49" t="s">
        <v>1258</v>
      </c>
      <c r="F49" t="s">
        <v>1259</v>
      </c>
      <c r="G49">
        <v>6784</v>
      </c>
      <c r="H49">
        <v>0</v>
      </c>
      <c r="I49">
        <v>57</v>
      </c>
      <c r="J49">
        <v>0</v>
      </c>
      <c r="K49">
        <v>1</v>
      </c>
      <c r="L49">
        <v>0</v>
      </c>
      <c r="M49">
        <v>174231.8</v>
      </c>
      <c r="N49" s="4">
        <v>46267</v>
      </c>
      <c r="O49" t="s">
        <v>1454</v>
      </c>
      <c r="P49" t="s">
        <v>1053</v>
      </c>
      <c r="S49" t="s">
        <v>1426</v>
      </c>
      <c r="T49" t="s">
        <v>1261</v>
      </c>
      <c r="U49" t="s">
        <v>1262</v>
      </c>
      <c r="V49">
        <v>639498</v>
      </c>
      <c r="W49" t="s">
        <v>1426</v>
      </c>
      <c r="X49" t="s">
        <v>1263</v>
      </c>
      <c r="Y49" t="s">
        <v>1455</v>
      </c>
      <c r="Z49" t="s">
        <v>1456</v>
      </c>
      <c r="AA49" s="5">
        <v>46267.518750000003</v>
      </c>
      <c r="AB49" t="s">
        <v>1266</v>
      </c>
      <c r="AC49" t="s">
        <v>1267</v>
      </c>
      <c r="AD49" t="s">
        <v>1268</v>
      </c>
      <c r="AE49" t="s">
        <v>1269</v>
      </c>
      <c r="AF49" t="s">
        <v>1270</v>
      </c>
    </row>
    <row r="50" spans="2:32" x14ac:dyDescent="0.25">
      <c r="B50">
        <v>9235</v>
      </c>
      <c r="C50" t="s">
        <v>1424</v>
      </c>
      <c r="D50" t="s">
        <v>1257</v>
      </c>
      <c r="E50" t="s">
        <v>1258</v>
      </c>
      <c r="F50" t="s">
        <v>1259</v>
      </c>
      <c r="G50">
        <v>7503</v>
      </c>
      <c r="H50">
        <v>0</v>
      </c>
      <c r="I50">
        <v>63</v>
      </c>
      <c r="J50">
        <v>0</v>
      </c>
      <c r="K50">
        <v>1</v>
      </c>
      <c r="L50">
        <v>0</v>
      </c>
      <c r="M50">
        <v>166664.79999999999</v>
      </c>
      <c r="N50" s="4">
        <v>46267</v>
      </c>
      <c r="O50" t="s">
        <v>1457</v>
      </c>
      <c r="P50" t="s">
        <v>1050</v>
      </c>
      <c r="S50" t="s">
        <v>1426</v>
      </c>
      <c r="T50" t="s">
        <v>1261</v>
      </c>
      <c r="U50" t="s">
        <v>1262</v>
      </c>
      <c r="V50">
        <v>639498</v>
      </c>
      <c r="W50" t="s">
        <v>1426</v>
      </c>
      <c r="X50" t="s">
        <v>1263</v>
      </c>
      <c r="Y50" t="s">
        <v>1458</v>
      </c>
      <c r="Z50" t="s">
        <v>1459</v>
      </c>
      <c r="AA50" s="5">
        <v>46267.518750000003</v>
      </c>
      <c r="AB50" t="s">
        <v>1266</v>
      </c>
      <c r="AC50" t="s">
        <v>1267</v>
      </c>
      <c r="AD50" t="s">
        <v>1268</v>
      </c>
      <c r="AE50" t="s">
        <v>1269</v>
      </c>
      <c r="AF50" t="s">
        <v>1270</v>
      </c>
    </row>
    <row r="51" spans="2:32" x14ac:dyDescent="0.25">
      <c r="B51">
        <v>9235</v>
      </c>
      <c r="C51" t="s">
        <v>1424</v>
      </c>
      <c r="D51" t="s">
        <v>1257</v>
      </c>
      <c r="E51" t="s">
        <v>1258</v>
      </c>
      <c r="F51" t="s">
        <v>1259</v>
      </c>
      <c r="G51">
        <v>7076</v>
      </c>
      <c r="H51">
        <v>0</v>
      </c>
      <c r="I51">
        <v>57</v>
      </c>
      <c r="J51">
        <v>0</v>
      </c>
      <c r="K51">
        <v>1</v>
      </c>
      <c r="L51">
        <v>0</v>
      </c>
      <c r="M51">
        <v>159530.79999999999</v>
      </c>
      <c r="N51" s="4">
        <v>46267</v>
      </c>
      <c r="O51" t="s">
        <v>1460</v>
      </c>
      <c r="P51" t="s">
        <v>1046</v>
      </c>
      <c r="S51" t="s">
        <v>1426</v>
      </c>
      <c r="T51" t="s">
        <v>1261</v>
      </c>
      <c r="U51" t="s">
        <v>1262</v>
      </c>
      <c r="V51">
        <v>639498</v>
      </c>
      <c r="W51" t="s">
        <v>1426</v>
      </c>
      <c r="X51" t="s">
        <v>1263</v>
      </c>
      <c r="Y51" t="s">
        <v>1461</v>
      </c>
      <c r="Z51" t="s">
        <v>1462</v>
      </c>
      <c r="AA51" s="5">
        <v>46267.518750000003</v>
      </c>
      <c r="AB51" t="s">
        <v>1266</v>
      </c>
      <c r="AC51" t="s">
        <v>1267</v>
      </c>
      <c r="AD51" t="s">
        <v>1268</v>
      </c>
      <c r="AE51" t="s">
        <v>1269</v>
      </c>
      <c r="AF51" t="s">
        <v>1270</v>
      </c>
    </row>
    <row r="52" spans="2:32" x14ac:dyDescent="0.25">
      <c r="B52">
        <v>9235</v>
      </c>
      <c r="C52" t="s">
        <v>1424</v>
      </c>
      <c r="D52" t="s">
        <v>1257</v>
      </c>
      <c r="E52" t="s">
        <v>1258</v>
      </c>
      <c r="F52" t="s">
        <v>1259</v>
      </c>
      <c r="G52">
        <v>1500</v>
      </c>
      <c r="H52">
        <v>0</v>
      </c>
      <c r="I52">
        <v>25</v>
      </c>
      <c r="J52">
        <v>0</v>
      </c>
      <c r="K52">
        <v>1</v>
      </c>
      <c r="L52">
        <v>0</v>
      </c>
      <c r="M52">
        <v>158004.79999999999</v>
      </c>
      <c r="N52" s="4">
        <v>46267</v>
      </c>
      <c r="O52" t="s">
        <v>1463</v>
      </c>
      <c r="P52" t="s">
        <v>1043</v>
      </c>
      <c r="S52" t="s">
        <v>1426</v>
      </c>
      <c r="T52" t="s">
        <v>1261</v>
      </c>
      <c r="U52" t="s">
        <v>1262</v>
      </c>
      <c r="V52">
        <v>639498</v>
      </c>
      <c r="W52" t="s">
        <v>1426</v>
      </c>
      <c r="X52" t="s">
        <v>1263</v>
      </c>
      <c r="Y52" t="s">
        <v>1464</v>
      </c>
      <c r="Z52" t="s">
        <v>1465</v>
      </c>
      <c r="AA52" s="5">
        <v>46267.518750000003</v>
      </c>
      <c r="AB52" t="s">
        <v>1266</v>
      </c>
      <c r="AC52" t="s">
        <v>1267</v>
      </c>
      <c r="AD52" t="s">
        <v>1268</v>
      </c>
      <c r="AE52" t="s">
        <v>1269</v>
      </c>
      <c r="AF52" t="s">
        <v>1270</v>
      </c>
    </row>
    <row r="53" spans="2:32" x14ac:dyDescent="0.25">
      <c r="B53">
        <v>9235</v>
      </c>
      <c r="C53" t="s">
        <v>1424</v>
      </c>
      <c r="D53" t="s">
        <v>1257</v>
      </c>
      <c r="E53" t="s">
        <v>1258</v>
      </c>
      <c r="F53" t="s">
        <v>1259</v>
      </c>
      <c r="G53">
        <v>15239</v>
      </c>
      <c r="H53">
        <v>0</v>
      </c>
      <c r="I53">
        <v>82</v>
      </c>
      <c r="J53">
        <v>0</v>
      </c>
      <c r="K53">
        <v>1</v>
      </c>
      <c r="L53">
        <v>0</v>
      </c>
      <c r="M53">
        <v>142682.79999999999</v>
      </c>
      <c r="N53" s="4">
        <v>46267</v>
      </c>
      <c r="O53" t="s">
        <v>1466</v>
      </c>
      <c r="P53" t="s">
        <v>1040</v>
      </c>
      <c r="S53" t="s">
        <v>1426</v>
      </c>
      <c r="T53" t="s">
        <v>1261</v>
      </c>
      <c r="U53" t="s">
        <v>1262</v>
      </c>
      <c r="V53">
        <v>639498</v>
      </c>
      <c r="W53" t="s">
        <v>1426</v>
      </c>
      <c r="X53" t="s">
        <v>1263</v>
      </c>
      <c r="Y53" t="s">
        <v>1467</v>
      </c>
      <c r="Z53" t="s">
        <v>1468</v>
      </c>
      <c r="AA53" s="5">
        <v>46267.518750000003</v>
      </c>
      <c r="AB53" t="s">
        <v>1266</v>
      </c>
      <c r="AC53" t="s">
        <v>1267</v>
      </c>
      <c r="AD53" t="s">
        <v>1268</v>
      </c>
      <c r="AE53" t="s">
        <v>1269</v>
      </c>
      <c r="AF53" t="s">
        <v>1270</v>
      </c>
    </row>
    <row r="54" spans="2:32" x14ac:dyDescent="0.25">
      <c r="B54">
        <v>9235</v>
      </c>
      <c r="C54" t="s">
        <v>1424</v>
      </c>
      <c r="D54" t="s">
        <v>1257</v>
      </c>
      <c r="E54" t="s">
        <v>1258</v>
      </c>
      <c r="F54" t="s">
        <v>1259</v>
      </c>
      <c r="G54">
        <v>3288</v>
      </c>
      <c r="H54">
        <v>0</v>
      </c>
      <c r="I54">
        <v>40</v>
      </c>
      <c r="J54">
        <v>0</v>
      </c>
      <c r="K54">
        <v>1</v>
      </c>
      <c r="L54">
        <v>0</v>
      </c>
      <c r="M54">
        <v>111280.4</v>
      </c>
      <c r="N54" s="4">
        <v>46267</v>
      </c>
      <c r="O54" t="s">
        <v>1469</v>
      </c>
      <c r="P54" t="s">
        <v>1037</v>
      </c>
      <c r="S54" t="s">
        <v>1426</v>
      </c>
      <c r="T54" t="s">
        <v>1261</v>
      </c>
      <c r="U54" t="s">
        <v>1262</v>
      </c>
      <c r="V54">
        <v>639498</v>
      </c>
      <c r="W54" t="s">
        <v>1426</v>
      </c>
      <c r="X54" t="s">
        <v>1263</v>
      </c>
      <c r="Y54" t="s">
        <v>1470</v>
      </c>
      <c r="Z54" t="s">
        <v>1471</v>
      </c>
      <c r="AA54" s="5">
        <v>46267.518750000003</v>
      </c>
      <c r="AB54" t="s">
        <v>1266</v>
      </c>
      <c r="AC54" t="s">
        <v>1267</v>
      </c>
      <c r="AD54" t="s">
        <v>1268</v>
      </c>
      <c r="AE54" t="s">
        <v>1269</v>
      </c>
      <c r="AF54" t="s">
        <v>1270</v>
      </c>
    </row>
    <row r="55" spans="2:32" x14ac:dyDescent="0.25">
      <c r="B55">
        <v>9235</v>
      </c>
      <c r="C55" t="s">
        <v>1424</v>
      </c>
      <c r="D55" t="s">
        <v>1257</v>
      </c>
      <c r="E55" t="s">
        <v>1258</v>
      </c>
      <c r="F55" t="s">
        <v>1259</v>
      </c>
      <c r="G55">
        <v>32230</v>
      </c>
      <c r="H55">
        <v>0</v>
      </c>
      <c r="I55">
        <v>105</v>
      </c>
      <c r="J55">
        <v>0</v>
      </c>
      <c r="K55">
        <v>1</v>
      </c>
      <c r="L55">
        <v>0</v>
      </c>
      <c r="M55">
        <v>64012.6</v>
      </c>
      <c r="N55" s="4">
        <v>46267</v>
      </c>
      <c r="O55" t="s">
        <v>1472</v>
      </c>
      <c r="P55" t="s">
        <v>1028</v>
      </c>
      <c r="S55" t="s">
        <v>1426</v>
      </c>
      <c r="T55" t="s">
        <v>1261</v>
      </c>
      <c r="U55" t="s">
        <v>1262</v>
      </c>
      <c r="V55">
        <v>639498</v>
      </c>
      <c r="W55" t="s">
        <v>1426</v>
      </c>
      <c r="X55" t="s">
        <v>1263</v>
      </c>
      <c r="Y55" t="s">
        <v>1473</v>
      </c>
      <c r="Z55" t="s">
        <v>1474</v>
      </c>
      <c r="AA55" s="5">
        <v>46267.518750000003</v>
      </c>
      <c r="AB55" t="s">
        <v>1266</v>
      </c>
      <c r="AC55" t="s">
        <v>1267</v>
      </c>
      <c r="AD55" t="s">
        <v>1268</v>
      </c>
      <c r="AE55" t="s">
        <v>1269</v>
      </c>
      <c r="AF55" t="s">
        <v>1270</v>
      </c>
    </row>
    <row r="56" spans="2:32" x14ac:dyDescent="0.25">
      <c r="B56">
        <v>9235</v>
      </c>
      <c r="C56" t="s">
        <v>1424</v>
      </c>
      <c r="D56" t="s">
        <v>1257</v>
      </c>
      <c r="E56" t="s">
        <v>1258</v>
      </c>
      <c r="F56" t="s">
        <v>1259</v>
      </c>
      <c r="G56">
        <v>372</v>
      </c>
      <c r="H56">
        <v>0</v>
      </c>
      <c r="I56">
        <v>10</v>
      </c>
      <c r="J56">
        <v>0</v>
      </c>
      <c r="K56">
        <v>1</v>
      </c>
      <c r="L56">
        <v>0</v>
      </c>
      <c r="M56">
        <v>63629.599999999999</v>
      </c>
      <c r="N56" s="4">
        <v>46267</v>
      </c>
      <c r="O56" t="s">
        <v>1475</v>
      </c>
      <c r="P56" t="s">
        <v>1025</v>
      </c>
      <c r="S56" t="s">
        <v>1426</v>
      </c>
      <c r="T56" t="s">
        <v>1261</v>
      </c>
      <c r="U56" t="s">
        <v>1262</v>
      </c>
      <c r="V56">
        <v>639498</v>
      </c>
      <c r="W56" t="s">
        <v>1426</v>
      </c>
      <c r="X56" t="s">
        <v>1263</v>
      </c>
      <c r="Y56" t="s">
        <v>1476</v>
      </c>
      <c r="Z56" t="s">
        <v>1477</v>
      </c>
      <c r="AA56" s="5">
        <v>46267.518750000003</v>
      </c>
      <c r="AB56" t="s">
        <v>1266</v>
      </c>
      <c r="AC56" t="s">
        <v>1267</v>
      </c>
      <c r="AD56" t="s">
        <v>1268</v>
      </c>
      <c r="AE56" t="s">
        <v>1269</v>
      </c>
      <c r="AF56" t="s">
        <v>1270</v>
      </c>
    </row>
    <row r="57" spans="2:32" x14ac:dyDescent="0.25">
      <c r="B57">
        <v>9235</v>
      </c>
      <c r="C57" t="s">
        <v>1424</v>
      </c>
      <c r="D57" t="s">
        <v>1257</v>
      </c>
      <c r="E57" t="s">
        <v>1258</v>
      </c>
      <c r="F57" t="s">
        <v>1259</v>
      </c>
      <c r="G57">
        <v>3762</v>
      </c>
      <c r="H57">
        <v>0</v>
      </c>
      <c r="I57">
        <v>49</v>
      </c>
      <c r="J57">
        <v>0</v>
      </c>
      <c r="K57">
        <v>1</v>
      </c>
      <c r="L57">
        <v>0</v>
      </c>
      <c r="M57">
        <v>59726.6</v>
      </c>
      <c r="N57" s="4">
        <v>46267</v>
      </c>
      <c r="O57" t="s">
        <v>1478</v>
      </c>
      <c r="P57" t="s">
        <v>1022</v>
      </c>
      <c r="S57" t="s">
        <v>1426</v>
      </c>
      <c r="T57" t="s">
        <v>1261</v>
      </c>
      <c r="U57" t="s">
        <v>1262</v>
      </c>
      <c r="V57">
        <v>639498</v>
      </c>
      <c r="W57" t="s">
        <v>1426</v>
      </c>
      <c r="X57" t="s">
        <v>1263</v>
      </c>
      <c r="Y57" t="s">
        <v>1479</v>
      </c>
      <c r="Z57" t="s">
        <v>1480</v>
      </c>
      <c r="AA57" s="5">
        <v>46267.518750000003</v>
      </c>
      <c r="AB57" t="s">
        <v>1266</v>
      </c>
      <c r="AC57" t="s">
        <v>1267</v>
      </c>
      <c r="AD57" t="s">
        <v>1268</v>
      </c>
      <c r="AE57" t="s">
        <v>1269</v>
      </c>
      <c r="AF57" t="s">
        <v>1270</v>
      </c>
    </row>
    <row r="58" spans="2:32" x14ac:dyDescent="0.25">
      <c r="B58">
        <v>9235</v>
      </c>
      <c r="C58" t="s">
        <v>1424</v>
      </c>
      <c r="D58" t="s">
        <v>1257</v>
      </c>
      <c r="E58" t="s">
        <v>1258</v>
      </c>
      <c r="F58" t="s">
        <v>1259</v>
      </c>
      <c r="G58">
        <v>4219</v>
      </c>
      <c r="H58">
        <v>0</v>
      </c>
      <c r="I58">
        <v>49</v>
      </c>
      <c r="J58">
        <v>0</v>
      </c>
      <c r="K58">
        <v>1</v>
      </c>
      <c r="L58">
        <v>0</v>
      </c>
      <c r="M58">
        <v>55296.6</v>
      </c>
      <c r="N58" s="4">
        <v>46267</v>
      </c>
      <c r="O58" t="s">
        <v>1481</v>
      </c>
      <c r="P58" t="s">
        <v>1018</v>
      </c>
      <c r="S58" t="s">
        <v>1426</v>
      </c>
      <c r="T58" t="s">
        <v>1261</v>
      </c>
      <c r="U58" t="s">
        <v>1262</v>
      </c>
      <c r="V58">
        <v>639498</v>
      </c>
      <c r="W58" t="s">
        <v>1426</v>
      </c>
      <c r="X58" t="s">
        <v>1263</v>
      </c>
      <c r="Y58" t="s">
        <v>1482</v>
      </c>
      <c r="Z58" t="s">
        <v>1483</v>
      </c>
      <c r="AA58" s="5">
        <v>46267.518750000003</v>
      </c>
      <c r="AB58" t="s">
        <v>1266</v>
      </c>
      <c r="AC58" t="s">
        <v>1267</v>
      </c>
      <c r="AD58" t="s">
        <v>1268</v>
      </c>
      <c r="AE58" t="s">
        <v>1269</v>
      </c>
      <c r="AF58" t="s">
        <v>1270</v>
      </c>
    </row>
    <row r="59" spans="2:32" x14ac:dyDescent="0.25">
      <c r="B59">
        <v>9235</v>
      </c>
      <c r="C59" t="s">
        <v>1424</v>
      </c>
      <c r="D59" t="s">
        <v>1257</v>
      </c>
      <c r="E59" t="s">
        <v>1258</v>
      </c>
      <c r="F59" t="s">
        <v>1259</v>
      </c>
      <c r="G59">
        <v>15332</v>
      </c>
      <c r="H59">
        <v>0</v>
      </c>
      <c r="I59">
        <v>82</v>
      </c>
      <c r="J59">
        <v>0</v>
      </c>
      <c r="K59">
        <v>1</v>
      </c>
      <c r="L59">
        <v>0</v>
      </c>
      <c r="M59">
        <v>37462</v>
      </c>
      <c r="N59" s="4">
        <v>46267</v>
      </c>
      <c r="O59" t="s">
        <v>1484</v>
      </c>
      <c r="P59" t="s">
        <v>1015</v>
      </c>
      <c r="S59" t="s">
        <v>1426</v>
      </c>
      <c r="T59" t="s">
        <v>1261</v>
      </c>
      <c r="U59" t="s">
        <v>1262</v>
      </c>
      <c r="V59">
        <v>639498</v>
      </c>
      <c r="W59" t="s">
        <v>1426</v>
      </c>
      <c r="X59" t="s">
        <v>1263</v>
      </c>
      <c r="Y59" t="s">
        <v>1485</v>
      </c>
      <c r="Z59" t="s">
        <v>1486</v>
      </c>
      <c r="AA59" s="5">
        <v>46267.518750000003</v>
      </c>
      <c r="AB59" t="s">
        <v>1266</v>
      </c>
      <c r="AC59" t="s">
        <v>1267</v>
      </c>
      <c r="AD59" t="s">
        <v>1268</v>
      </c>
      <c r="AE59" t="s">
        <v>1269</v>
      </c>
      <c r="AF59" t="s">
        <v>1270</v>
      </c>
    </row>
    <row r="60" spans="2:32" x14ac:dyDescent="0.25">
      <c r="B60">
        <v>9235</v>
      </c>
      <c r="C60" t="s">
        <v>1424</v>
      </c>
      <c r="D60" t="s">
        <v>1257</v>
      </c>
      <c r="E60" t="s">
        <v>1258</v>
      </c>
      <c r="F60" t="s">
        <v>1259</v>
      </c>
      <c r="G60">
        <v>2763</v>
      </c>
      <c r="H60">
        <v>0</v>
      </c>
      <c r="I60">
        <v>40</v>
      </c>
      <c r="J60">
        <v>0</v>
      </c>
      <c r="K60">
        <v>1</v>
      </c>
      <c r="L60">
        <v>0</v>
      </c>
      <c r="M60">
        <v>31245.599999999999</v>
      </c>
      <c r="N60" s="4">
        <v>46267</v>
      </c>
      <c r="O60" t="s">
        <v>1487</v>
      </c>
      <c r="P60" t="s">
        <v>1010</v>
      </c>
      <c r="S60" t="s">
        <v>1426</v>
      </c>
      <c r="T60" t="s">
        <v>1261</v>
      </c>
      <c r="U60" t="s">
        <v>1262</v>
      </c>
      <c r="V60">
        <v>639498</v>
      </c>
      <c r="W60" t="s">
        <v>1426</v>
      </c>
      <c r="X60" t="s">
        <v>1263</v>
      </c>
      <c r="Y60" t="s">
        <v>1488</v>
      </c>
      <c r="Z60" t="s">
        <v>1489</v>
      </c>
      <c r="AA60" s="5">
        <v>46267.518750000003</v>
      </c>
      <c r="AB60" t="s">
        <v>1266</v>
      </c>
      <c r="AC60" t="s">
        <v>1267</v>
      </c>
      <c r="AD60" t="s">
        <v>1268</v>
      </c>
      <c r="AE60" t="s">
        <v>1269</v>
      </c>
      <c r="AF60" t="s">
        <v>1270</v>
      </c>
    </row>
    <row r="61" spans="2:32" x14ac:dyDescent="0.25">
      <c r="B61">
        <v>1391815</v>
      </c>
      <c r="C61" t="s">
        <v>1490</v>
      </c>
      <c r="D61" t="s">
        <v>1286</v>
      </c>
      <c r="F61" t="s">
        <v>1259</v>
      </c>
      <c r="G61">
        <v>15300</v>
      </c>
      <c r="H61">
        <v>0</v>
      </c>
      <c r="I61">
        <v>15</v>
      </c>
      <c r="J61">
        <v>18</v>
      </c>
      <c r="K61">
        <v>0</v>
      </c>
      <c r="L61">
        <v>0</v>
      </c>
      <c r="M61">
        <v>49549.18</v>
      </c>
      <c r="N61" s="4">
        <v>46267</v>
      </c>
      <c r="O61" t="s">
        <v>1491</v>
      </c>
      <c r="P61" t="s">
        <v>1006</v>
      </c>
      <c r="T61" t="s">
        <v>1261</v>
      </c>
      <c r="U61" t="s">
        <v>1262</v>
      </c>
      <c r="V61">
        <v>1391815</v>
      </c>
      <c r="X61" t="s">
        <v>1263</v>
      </c>
      <c r="Y61" t="s">
        <v>1492</v>
      </c>
      <c r="Z61" t="s">
        <v>1493</v>
      </c>
      <c r="AA61" s="5">
        <v>46267.522222222222</v>
      </c>
      <c r="AB61" t="s">
        <v>1266</v>
      </c>
      <c r="AD61" t="s">
        <v>1268</v>
      </c>
      <c r="AE61" t="s">
        <v>1269</v>
      </c>
      <c r="AF61" t="s">
        <v>1270</v>
      </c>
    </row>
    <row r="62" spans="2:32" x14ac:dyDescent="0.25">
      <c r="B62">
        <v>1483</v>
      </c>
      <c r="C62" t="s">
        <v>1494</v>
      </c>
      <c r="D62" t="s">
        <v>1257</v>
      </c>
      <c r="E62" t="s">
        <v>1258</v>
      </c>
      <c r="F62" t="s">
        <v>1259</v>
      </c>
      <c r="G62">
        <v>5920</v>
      </c>
      <c r="H62">
        <v>0</v>
      </c>
      <c r="I62">
        <v>15</v>
      </c>
      <c r="J62">
        <v>0</v>
      </c>
      <c r="K62">
        <v>1</v>
      </c>
      <c r="L62">
        <v>0</v>
      </c>
      <c r="M62">
        <v>19695.578000000001</v>
      </c>
      <c r="N62" s="4">
        <v>46267</v>
      </c>
      <c r="O62" t="s">
        <v>1495</v>
      </c>
      <c r="P62" t="s">
        <v>1002</v>
      </c>
      <c r="T62" t="s">
        <v>1261</v>
      </c>
      <c r="U62" t="s">
        <v>1262</v>
      </c>
      <c r="V62">
        <v>5228737</v>
      </c>
      <c r="X62" t="s">
        <v>1263</v>
      </c>
      <c r="Y62" t="s">
        <v>1496</v>
      </c>
      <c r="Z62" t="s">
        <v>1497</v>
      </c>
      <c r="AA62" s="5">
        <v>46267.522916666669</v>
      </c>
      <c r="AB62" t="s">
        <v>1266</v>
      </c>
      <c r="AD62" t="s">
        <v>1268</v>
      </c>
      <c r="AE62" t="s">
        <v>1269</v>
      </c>
      <c r="AF62" t="s">
        <v>1270</v>
      </c>
    </row>
    <row r="63" spans="2:32" x14ac:dyDescent="0.25">
      <c r="B63">
        <v>1662340</v>
      </c>
      <c r="C63" t="s">
        <v>1498</v>
      </c>
      <c r="D63" t="s">
        <v>1286</v>
      </c>
      <c r="F63" t="s">
        <v>1259</v>
      </c>
      <c r="G63">
        <v>100</v>
      </c>
      <c r="H63">
        <v>0</v>
      </c>
      <c r="I63">
        <v>0</v>
      </c>
      <c r="J63">
        <v>0</v>
      </c>
      <c r="K63">
        <v>0</v>
      </c>
      <c r="L63">
        <v>0</v>
      </c>
      <c r="M63">
        <v>7</v>
      </c>
      <c r="N63" s="4">
        <v>46267</v>
      </c>
      <c r="O63" t="s">
        <v>1499</v>
      </c>
      <c r="P63" t="s">
        <v>989</v>
      </c>
      <c r="S63" t="s">
        <v>1326</v>
      </c>
      <c r="T63" t="s">
        <v>1261</v>
      </c>
      <c r="U63" t="s">
        <v>1262</v>
      </c>
      <c r="V63">
        <v>1662340</v>
      </c>
      <c r="W63" t="s">
        <v>1326</v>
      </c>
      <c r="X63" t="s">
        <v>1263</v>
      </c>
      <c r="Y63" t="s">
        <v>1500</v>
      </c>
      <c r="Z63" t="s">
        <v>1501</v>
      </c>
      <c r="AA63" s="5">
        <v>46267.539583333331</v>
      </c>
      <c r="AB63" t="s">
        <v>1266</v>
      </c>
      <c r="AD63" t="s">
        <v>1268</v>
      </c>
      <c r="AE63" t="s">
        <v>1269</v>
      </c>
      <c r="AF63" t="s">
        <v>1270</v>
      </c>
    </row>
    <row r="64" spans="2:32" x14ac:dyDescent="0.25">
      <c r="B64">
        <v>36302</v>
      </c>
      <c r="C64" t="s">
        <v>1502</v>
      </c>
      <c r="D64" t="s">
        <v>1257</v>
      </c>
      <c r="E64" t="s">
        <v>1258</v>
      </c>
      <c r="F64" t="s">
        <v>1259</v>
      </c>
      <c r="G64">
        <v>2000</v>
      </c>
      <c r="H64">
        <v>0</v>
      </c>
      <c r="I64">
        <v>10</v>
      </c>
      <c r="J64">
        <v>0</v>
      </c>
      <c r="K64">
        <v>1</v>
      </c>
      <c r="L64">
        <v>0</v>
      </c>
      <c r="M64">
        <v>323601</v>
      </c>
      <c r="N64" s="4">
        <v>46267</v>
      </c>
      <c r="O64" t="s">
        <v>1503</v>
      </c>
      <c r="P64" t="s">
        <v>985</v>
      </c>
      <c r="T64" t="s">
        <v>1261</v>
      </c>
      <c r="U64" t="s">
        <v>1262</v>
      </c>
      <c r="V64">
        <v>4961328</v>
      </c>
      <c r="X64" t="s">
        <v>1263</v>
      </c>
      <c r="Y64" t="s">
        <v>1504</v>
      </c>
      <c r="Z64" t="s">
        <v>1505</v>
      </c>
      <c r="AA64" s="5">
        <v>46267.540277777778</v>
      </c>
      <c r="AB64" t="s">
        <v>1266</v>
      </c>
      <c r="AD64" t="s">
        <v>1268</v>
      </c>
      <c r="AE64" t="s">
        <v>1269</v>
      </c>
      <c r="AF64" t="s">
        <v>1270</v>
      </c>
    </row>
    <row r="65" spans="1:32" x14ac:dyDescent="0.25">
      <c r="B65">
        <v>36302</v>
      </c>
      <c r="C65" t="s">
        <v>1502</v>
      </c>
      <c r="D65" t="s">
        <v>1257</v>
      </c>
      <c r="E65" t="s">
        <v>1258</v>
      </c>
      <c r="F65" t="s">
        <v>1259</v>
      </c>
      <c r="G65">
        <v>4000</v>
      </c>
      <c r="H65">
        <v>0</v>
      </c>
      <c r="I65">
        <v>49</v>
      </c>
      <c r="J65">
        <v>0</v>
      </c>
      <c r="K65">
        <v>1</v>
      </c>
      <c r="L65">
        <v>0</v>
      </c>
      <c r="M65">
        <v>319551</v>
      </c>
      <c r="N65" s="4">
        <v>46267</v>
      </c>
      <c r="O65" t="s">
        <v>1506</v>
      </c>
      <c r="P65" t="s">
        <v>980</v>
      </c>
      <c r="S65" t="s">
        <v>1407</v>
      </c>
      <c r="T65" t="s">
        <v>1261</v>
      </c>
      <c r="U65" t="s">
        <v>1262</v>
      </c>
      <c r="V65">
        <v>400200</v>
      </c>
      <c r="W65" t="s">
        <v>1407</v>
      </c>
      <c r="X65" t="s">
        <v>1263</v>
      </c>
      <c r="Y65" t="s">
        <v>1507</v>
      </c>
      <c r="Z65">
        <v>797900</v>
      </c>
      <c r="AA65" s="5">
        <v>46267.542361111111</v>
      </c>
      <c r="AB65" t="s">
        <v>1266</v>
      </c>
      <c r="AD65" t="s">
        <v>1268</v>
      </c>
      <c r="AE65" t="s">
        <v>1269</v>
      </c>
      <c r="AF65" t="s">
        <v>1270</v>
      </c>
    </row>
    <row r="66" spans="1:32" x14ac:dyDescent="0.25">
      <c r="B66">
        <v>413570</v>
      </c>
      <c r="C66" t="s">
        <v>1508</v>
      </c>
      <c r="D66" t="s">
        <v>1286</v>
      </c>
      <c r="F66" t="s">
        <v>1259</v>
      </c>
      <c r="G66">
        <v>65</v>
      </c>
      <c r="H66">
        <v>0</v>
      </c>
      <c r="I66">
        <v>0</v>
      </c>
      <c r="J66">
        <v>0</v>
      </c>
      <c r="K66">
        <v>0</v>
      </c>
      <c r="L66">
        <v>0</v>
      </c>
      <c r="M66">
        <v>121</v>
      </c>
      <c r="N66" s="4">
        <v>46267</v>
      </c>
      <c r="O66" t="s">
        <v>1509</v>
      </c>
      <c r="P66" t="s">
        <v>976</v>
      </c>
      <c r="T66" t="s">
        <v>1261</v>
      </c>
      <c r="U66" t="s">
        <v>1262</v>
      </c>
      <c r="V66">
        <v>413570</v>
      </c>
      <c r="X66" t="s">
        <v>1263</v>
      </c>
      <c r="Y66" t="s">
        <v>1510</v>
      </c>
      <c r="Z66" t="s">
        <v>1511</v>
      </c>
      <c r="AA66" s="5">
        <v>46267.551388888889</v>
      </c>
      <c r="AB66" t="s">
        <v>1266</v>
      </c>
      <c r="AD66" t="s">
        <v>1268</v>
      </c>
      <c r="AE66" t="s">
        <v>1269</v>
      </c>
      <c r="AF66" t="s">
        <v>1270</v>
      </c>
    </row>
    <row r="67" spans="1:32" x14ac:dyDescent="0.25">
      <c r="B67">
        <v>110311</v>
      </c>
      <c r="C67" t="s">
        <v>1415</v>
      </c>
      <c r="D67" t="s">
        <v>1416</v>
      </c>
      <c r="E67" t="s">
        <v>1258</v>
      </c>
      <c r="F67" t="s">
        <v>1259</v>
      </c>
      <c r="G67">
        <v>17688</v>
      </c>
      <c r="H67">
        <v>0</v>
      </c>
      <c r="I67">
        <v>15</v>
      </c>
      <c r="J67">
        <v>0</v>
      </c>
      <c r="K67">
        <v>1</v>
      </c>
      <c r="L67">
        <v>0</v>
      </c>
      <c r="M67">
        <v>627712</v>
      </c>
      <c r="N67" s="4">
        <v>46267</v>
      </c>
      <c r="O67" t="s">
        <v>1512</v>
      </c>
      <c r="P67" t="s">
        <v>972</v>
      </c>
      <c r="T67" t="s">
        <v>1261</v>
      </c>
      <c r="U67" t="s">
        <v>1262</v>
      </c>
      <c r="V67">
        <v>9481425</v>
      </c>
      <c r="X67" t="s">
        <v>1263</v>
      </c>
      <c r="Y67" t="s">
        <v>1513</v>
      </c>
      <c r="Z67" t="s">
        <v>1514</v>
      </c>
      <c r="AA67" s="5">
        <v>46267.55972222222</v>
      </c>
      <c r="AB67" t="s">
        <v>1266</v>
      </c>
      <c r="AD67" t="s">
        <v>1268</v>
      </c>
      <c r="AE67" t="s">
        <v>1269</v>
      </c>
      <c r="AF67" t="s">
        <v>1270</v>
      </c>
    </row>
    <row r="68" spans="1:32" x14ac:dyDescent="0.25">
      <c r="A68">
        <v>756756</v>
      </c>
      <c r="B68">
        <v>254757455384</v>
      </c>
      <c r="C68" t="s">
        <v>1515</v>
      </c>
      <c r="D68" t="s">
        <v>1286</v>
      </c>
      <c r="F68" t="s">
        <v>1259</v>
      </c>
      <c r="G68">
        <v>450</v>
      </c>
      <c r="H68">
        <v>0</v>
      </c>
      <c r="I68">
        <v>10</v>
      </c>
      <c r="J68">
        <v>0</v>
      </c>
      <c r="K68">
        <v>0</v>
      </c>
      <c r="L68">
        <v>0</v>
      </c>
      <c r="M68">
        <v>23</v>
      </c>
      <c r="N68" s="4">
        <v>46267</v>
      </c>
      <c r="O68" t="s">
        <v>1516</v>
      </c>
      <c r="P68" t="s">
        <v>967</v>
      </c>
      <c r="S68" t="s">
        <v>1517</v>
      </c>
      <c r="T68" t="s">
        <v>1261</v>
      </c>
      <c r="U68" t="s">
        <v>1262</v>
      </c>
      <c r="V68">
        <v>714777</v>
      </c>
      <c r="W68" t="s">
        <v>1517</v>
      </c>
      <c r="X68" t="s">
        <v>1263</v>
      </c>
      <c r="Y68" t="s">
        <v>1518</v>
      </c>
      <c r="Z68" s="6" t="s">
        <v>971</v>
      </c>
      <c r="AA68" s="5">
        <v>46267.563888888886</v>
      </c>
      <c r="AB68" t="s">
        <v>1266</v>
      </c>
      <c r="AC68" t="s">
        <v>1293</v>
      </c>
      <c r="AD68" t="s">
        <v>1268</v>
      </c>
      <c r="AE68" t="s">
        <v>1269</v>
      </c>
      <c r="AF68" t="s">
        <v>1270</v>
      </c>
    </row>
    <row r="69" spans="1:32" x14ac:dyDescent="0.25">
      <c r="A69">
        <v>756756</v>
      </c>
      <c r="B69">
        <v>164621</v>
      </c>
      <c r="C69" t="s">
        <v>1519</v>
      </c>
      <c r="D69" t="s">
        <v>1320</v>
      </c>
      <c r="F69" t="s">
        <v>1259</v>
      </c>
      <c r="G69">
        <v>80</v>
      </c>
      <c r="H69">
        <v>0</v>
      </c>
      <c r="I69">
        <v>0</v>
      </c>
      <c r="J69">
        <v>0</v>
      </c>
      <c r="K69">
        <v>0</v>
      </c>
      <c r="L69">
        <v>0</v>
      </c>
      <c r="M69">
        <v>7235.94</v>
      </c>
      <c r="N69" s="4">
        <v>46267</v>
      </c>
      <c r="O69" t="s">
        <v>1520</v>
      </c>
      <c r="P69" t="s">
        <v>962</v>
      </c>
      <c r="T69" t="s">
        <v>1261</v>
      </c>
      <c r="U69" t="s">
        <v>1262</v>
      </c>
      <c r="V69">
        <v>3510637</v>
      </c>
      <c r="X69" t="s">
        <v>1263</v>
      </c>
      <c r="Y69" t="s">
        <v>1521</v>
      </c>
      <c r="Z69" t="s">
        <v>1521</v>
      </c>
      <c r="AA69" s="5">
        <v>46267.567361111112</v>
      </c>
      <c r="AB69" t="s">
        <v>1266</v>
      </c>
      <c r="AC69" t="s">
        <v>1293</v>
      </c>
      <c r="AD69" t="s">
        <v>1268</v>
      </c>
      <c r="AE69" t="s">
        <v>1269</v>
      </c>
      <c r="AF69" t="s">
        <v>1270</v>
      </c>
    </row>
    <row r="70" spans="1:32" x14ac:dyDescent="0.25">
      <c r="A70">
        <v>756756</v>
      </c>
      <c r="B70">
        <v>164621</v>
      </c>
      <c r="C70" t="s">
        <v>1519</v>
      </c>
      <c r="D70" t="s">
        <v>1320</v>
      </c>
      <c r="F70" t="s">
        <v>1259</v>
      </c>
      <c r="G70">
        <v>875</v>
      </c>
      <c r="H70">
        <v>0</v>
      </c>
      <c r="I70">
        <v>10</v>
      </c>
      <c r="J70">
        <v>0</v>
      </c>
      <c r="K70">
        <v>0</v>
      </c>
      <c r="L70">
        <v>0</v>
      </c>
      <c r="M70">
        <v>6350.94</v>
      </c>
      <c r="N70" s="4">
        <v>46267</v>
      </c>
      <c r="O70" t="s">
        <v>1522</v>
      </c>
      <c r="P70" t="s">
        <v>958</v>
      </c>
      <c r="T70" t="s">
        <v>1261</v>
      </c>
      <c r="U70" t="s">
        <v>1262</v>
      </c>
      <c r="V70">
        <v>9362497</v>
      </c>
      <c r="X70" t="s">
        <v>1263</v>
      </c>
      <c r="Y70" t="s">
        <v>1523</v>
      </c>
      <c r="Z70" t="s">
        <v>1523</v>
      </c>
      <c r="AA70" s="5">
        <v>46267.568749999999</v>
      </c>
      <c r="AB70" t="s">
        <v>1266</v>
      </c>
      <c r="AC70" t="s">
        <v>1293</v>
      </c>
      <c r="AD70" t="s">
        <v>1268</v>
      </c>
      <c r="AE70" t="s">
        <v>1269</v>
      </c>
      <c r="AF70" t="s">
        <v>1270</v>
      </c>
    </row>
    <row r="71" spans="1:32" x14ac:dyDescent="0.25">
      <c r="B71">
        <v>379411</v>
      </c>
      <c r="C71" t="s">
        <v>1524</v>
      </c>
      <c r="D71" t="s">
        <v>1257</v>
      </c>
      <c r="F71" t="s">
        <v>1259</v>
      </c>
      <c r="G71">
        <v>38999</v>
      </c>
      <c r="H71">
        <v>0</v>
      </c>
      <c r="I71">
        <v>125</v>
      </c>
      <c r="J71">
        <v>0</v>
      </c>
      <c r="K71">
        <v>1</v>
      </c>
      <c r="L71">
        <v>0</v>
      </c>
      <c r="M71">
        <v>176460.872</v>
      </c>
      <c r="N71" s="4">
        <v>46267</v>
      </c>
      <c r="O71" t="s">
        <v>1525</v>
      </c>
      <c r="P71" t="s">
        <v>953</v>
      </c>
      <c r="S71" t="s">
        <v>1407</v>
      </c>
      <c r="T71" t="s">
        <v>1261</v>
      </c>
      <c r="U71" t="s">
        <v>1262</v>
      </c>
      <c r="V71">
        <v>400200</v>
      </c>
      <c r="W71" t="s">
        <v>1407</v>
      </c>
      <c r="X71" t="s">
        <v>1263</v>
      </c>
      <c r="Y71" t="s">
        <v>1526</v>
      </c>
      <c r="Z71" t="s">
        <v>1527</v>
      </c>
      <c r="AA71" s="5">
        <v>46267.588194444441</v>
      </c>
      <c r="AB71" t="s">
        <v>1266</v>
      </c>
      <c r="AC71" t="s">
        <v>1267</v>
      </c>
      <c r="AD71" t="s">
        <v>1268</v>
      </c>
      <c r="AE71" t="s">
        <v>1269</v>
      </c>
      <c r="AF71" t="s">
        <v>1270</v>
      </c>
    </row>
    <row r="72" spans="1:32" x14ac:dyDescent="0.25">
      <c r="B72">
        <v>469005</v>
      </c>
      <c r="C72" t="s">
        <v>1528</v>
      </c>
      <c r="D72" t="s">
        <v>1257</v>
      </c>
      <c r="E72" t="s">
        <v>1258</v>
      </c>
      <c r="F72" t="s">
        <v>1259</v>
      </c>
      <c r="G72">
        <v>2176</v>
      </c>
      <c r="H72">
        <v>0</v>
      </c>
      <c r="I72">
        <v>10</v>
      </c>
      <c r="J72">
        <v>0</v>
      </c>
      <c r="K72">
        <v>1</v>
      </c>
      <c r="L72">
        <v>0</v>
      </c>
      <c r="M72">
        <v>3283.2</v>
      </c>
      <c r="N72" s="4">
        <v>46267</v>
      </c>
      <c r="O72" t="s">
        <v>1529</v>
      </c>
      <c r="P72" t="s">
        <v>949</v>
      </c>
      <c r="T72" t="s">
        <v>1261</v>
      </c>
      <c r="U72" t="s">
        <v>1262</v>
      </c>
      <c r="V72">
        <v>4699876</v>
      </c>
      <c r="X72" t="s">
        <v>1263</v>
      </c>
      <c r="Y72" t="s">
        <v>1530</v>
      </c>
      <c r="Z72" t="s">
        <v>1530</v>
      </c>
      <c r="AA72" s="5">
        <v>46267.588888888888</v>
      </c>
      <c r="AB72" t="s">
        <v>1266</v>
      </c>
      <c r="AC72" t="s">
        <v>1531</v>
      </c>
      <c r="AD72" t="s">
        <v>1268</v>
      </c>
      <c r="AE72" t="s">
        <v>1269</v>
      </c>
      <c r="AF72" t="s">
        <v>1270</v>
      </c>
    </row>
    <row r="73" spans="1:32" x14ac:dyDescent="0.25">
      <c r="B73">
        <v>1003020</v>
      </c>
      <c r="C73" t="s">
        <v>1379</v>
      </c>
      <c r="D73" t="s">
        <v>1380</v>
      </c>
      <c r="F73" t="s">
        <v>1259</v>
      </c>
      <c r="G73">
        <v>1000</v>
      </c>
      <c r="H73">
        <v>0</v>
      </c>
      <c r="I73">
        <v>20</v>
      </c>
      <c r="J73">
        <v>10</v>
      </c>
      <c r="K73">
        <v>0</v>
      </c>
      <c r="L73">
        <v>0</v>
      </c>
      <c r="M73">
        <v>40888.93</v>
      </c>
      <c r="N73" s="4">
        <v>46267</v>
      </c>
      <c r="O73" t="s">
        <v>1532</v>
      </c>
      <c r="P73" t="s">
        <v>944</v>
      </c>
      <c r="S73" t="s">
        <v>1382</v>
      </c>
      <c r="T73" t="s">
        <v>1261</v>
      </c>
      <c r="U73" t="s">
        <v>1262</v>
      </c>
      <c r="V73">
        <v>1003020</v>
      </c>
      <c r="W73" t="s">
        <v>1382</v>
      </c>
      <c r="X73" t="s">
        <v>1263</v>
      </c>
      <c r="Y73" t="s">
        <v>1533</v>
      </c>
      <c r="Z73" t="s">
        <v>1534</v>
      </c>
      <c r="AA73" s="5">
        <v>46267.59097222222</v>
      </c>
      <c r="AB73" t="s">
        <v>1266</v>
      </c>
      <c r="AD73" t="s">
        <v>1268</v>
      </c>
      <c r="AE73" t="s">
        <v>1269</v>
      </c>
      <c r="AF73" t="s">
        <v>1270</v>
      </c>
    </row>
    <row r="74" spans="1:32" x14ac:dyDescent="0.25">
      <c r="B74">
        <v>80417</v>
      </c>
      <c r="C74" t="s">
        <v>1535</v>
      </c>
      <c r="D74" t="s">
        <v>1272</v>
      </c>
      <c r="E74" t="s">
        <v>1258</v>
      </c>
      <c r="F74" t="s">
        <v>1259</v>
      </c>
      <c r="G74">
        <v>3900</v>
      </c>
      <c r="H74">
        <v>0</v>
      </c>
      <c r="I74">
        <v>15</v>
      </c>
      <c r="J74">
        <v>0</v>
      </c>
      <c r="K74">
        <v>1</v>
      </c>
      <c r="L74">
        <v>0</v>
      </c>
      <c r="M74">
        <v>3013.8139999999999</v>
      </c>
      <c r="N74" s="4">
        <v>46267</v>
      </c>
      <c r="O74" t="s">
        <v>1536</v>
      </c>
      <c r="P74" t="s">
        <v>942</v>
      </c>
      <c r="T74" t="s">
        <v>1261</v>
      </c>
      <c r="U74" t="s">
        <v>1262</v>
      </c>
      <c r="V74">
        <v>9246253</v>
      </c>
      <c r="X74" t="s">
        <v>1263</v>
      </c>
      <c r="Y74" t="s">
        <v>1537</v>
      </c>
      <c r="Z74" t="s">
        <v>1275</v>
      </c>
      <c r="AA74" s="5">
        <v>46267.594444444447</v>
      </c>
      <c r="AB74" t="s">
        <v>1266</v>
      </c>
      <c r="AD74" t="s">
        <v>1268</v>
      </c>
      <c r="AE74" t="s">
        <v>1269</v>
      </c>
      <c r="AF74" t="s">
        <v>1270</v>
      </c>
    </row>
    <row r="75" spans="1:32" x14ac:dyDescent="0.25">
      <c r="A75">
        <v>756756</v>
      </c>
      <c r="B75">
        <v>254748897486</v>
      </c>
      <c r="C75" t="s">
        <v>1538</v>
      </c>
      <c r="D75" t="s">
        <v>1286</v>
      </c>
      <c r="F75" t="s">
        <v>1259</v>
      </c>
      <c r="G75">
        <v>100</v>
      </c>
      <c r="H75">
        <v>0</v>
      </c>
      <c r="I75">
        <v>0</v>
      </c>
      <c r="J75">
        <v>0</v>
      </c>
      <c r="K75">
        <v>0</v>
      </c>
      <c r="L75">
        <v>0</v>
      </c>
      <c r="M75">
        <v>100</v>
      </c>
      <c r="N75" s="4">
        <v>46267</v>
      </c>
      <c r="O75" t="s">
        <v>1539</v>
      </c>
      <c r="P75" t="s">
        <v>938</v>
      </c>
      <c r="T75" t="s">
        <v>1261</v>
      </c>
      <c r="U75" t="s">
        <v>1262</v>
      </c>
      <c r="V75">
        <v>3253086</v>
      </c>
      <c r="X75" t="s">
        <v>1263</v>
      </c>
      <c r="Y75" t="s">
        <v>1540</v>
      </c>
      <c r="Z75" t="s">
        <v>1540</v>
      </c>
      <c r="AA75" s="5">
        <v>46267.597222222219</v>
      </c>
      <c r="AB75" t="s">
        <v>1266</v>
      </c>
      <c r="AC75" t="s">
        <v>1293</v>
      </c>
      <c r="AD75" t="s">
        <v>1268</v>
      </c>
      <c r="AE75" t="s">
        <v>1269</v>
      </c>
      <c r="AF75" t="s">
        <v>1270</v>
      </c>
    </row>
    <row r="76" spans="1:32" x14ac:dyDescent="0.25">
      <c r="A76">
        <v>455555</v>
      </c>
      <c r="B76">
        <v>314127</v>
      </c>
      <c r="C76" t="s">
        <v>1541</v>
      </c>
      <c r="D76" t="s">
        <v>1286</v>
      </c>
      <c r="F76" t="s">
        <v>1259</v>
      </c>
      <c r="G76">
        <v>170</v>
      </c>
      <c r="H76">
        <v>0</v>
      </c>
      <c r="I76">
        <v>10</v>
      </c>
      <c r="J76">
        <v>0</v>
      </c>
      <c r="K76">
        <v>0</v>
      </c>
      <c r="L76">
        <v>0</v>
      </c>
      <c r="M76">
        <v>3868</v>
      </c>
      <c r="N76" s="4">
        <v>46267</v>
      </c>
      <c r="O76" t="s">
        <v>1542</v>
      </c>
      <c r="P76" t="s">
        <v>1543</v>
      </c>
      <c r="S76" t="s">
        <v>1544</v>
      </c>
      <c r="T76" t="s">
        <v>1261</v>
      </c>
      <c r="U76" t="s">
        <v>1262</v>
      </c>
      <c r="V76">
        <v>622645</v>
      </c>
      <c r="W76" t="s">
        <v>1544</v>
      </c>
      <c r="X76" t="s">
        <v>1263</v>
      </c>
      <c r="Y76" t="s">
        <v>1545</v>
      </c>
      <c r="Z76">
        <v>30348505</v>
      </c>
      <c r="AA76" s="5">
        <v>46267.602083333331</v>
      </c>
      <c r="AB76" t="s">
        <v>1266</v>
      </c>
      <c r="AC76" t="s">
        <v>1293</v>
      </c>
      <c r="AD76" t="s">
        <v>1268</v>
      </c>
      <c r="AE76" t="s">
        <v>1269</v>
      </c>
      <c r="AF76" t="s">
        <v>1270</v>
      </c>
    </row>
    <row r="77" spans="1:32" x14ac:dyDescent="0.25">
      <c r="B77">
        <v>458445</v>
      </c>
      <c r="C77" t="s">
        <v>1332</v>
      </c>
      <c r="D77" t="s">
        <v>1257</v>
      </c>
      <c r="E77" t="s">
        <v>1258</v>
      </c>
      <c r="F77" t="s">
        <v>1259</v>
      </c>
      <c r="G77">
        <v>87000</v>
      </c>
      <c r="H77">
        <v>0</v>
      </c>
      <c r="I77">
        <v>136</v>
      </c>
      <c r="J77">
        <v>0</v>
      </c>
      <c r="K77">
        <v>1</v>
      </c>
      <c r="L77">
        <v>0</v>
      </c>
      <c r="M77">
        <v>308219.68599999999</v>
      </c>
      <c r="N77" s="4">
        <v>46267</v>
      </c>
      <c r="O77" t="s">
        <v>1546</v>
      </c>
      <c r="P77" t="s">
        <v>932</v>
      </c>
      <c r="S77" t="s">
        <v>1547</v>
      </c>
      <c r="T77" t="s">
        <v>1261</v>
      </c>
      <c r="U77" t="s">
        <v>1262</v>
      </c>
      <c r="V77">
        <v>303030</v>
      </c>
      <c r="W77" t="s">
        <v>1547</v>
      </c>
      <c r="X77" t="s">
        <v>1263</v>
      </c>
      <c r="Y77" t="s">
        <v>1548</v>
      </c>
      <c r="Z77">
        <v>18757</v>
      </c>
      <c r="AA77" s="5">
        <v>46267.603472222225</v>
      </c>
      <c r="AB77" t="s">
        <v>1266</v>
      </c>
      <c r="AC77" t="s">
        <v>1267</v>
      </c>
      <c r="AD77" t="s">
        <v>1268</v>
      </c>
      <c r="AE77" t="s">
        <v>1269</v>
      </c>
      <c r="AF77" t="s">
        <v>1270</v>
      </c>
    </row>
    <row r="78" spans="1:32" x14ac:dyDescent="0.25">
      <c r="B78">
        <v>1592688</v>
      </c>
      <c r="C78" t="s">
        <v>1549</v>
      </c>
      <c r="D78" t="s">
        <v>1286</v>
      </c>
      <c r="F78" t="s">
        <v>1259</v>
      </c>
      <c r="G78">
        <v>6500</v>
      </c>
      <c r="H78">
        <v>0</v>
      </c>
      <c r="I78">
        <v>57</v>
      </c>
      <c r="J78">
        <v>16</v>
      </c>
      <c r="K78">
        <v>0</v>
      </c>
      <c r="L78">
        <v>0</v>
      </c>
      <c r="M78">
        <v>457</v>
      </c>
      <c r="N78" s="4">
        <v>46267</v>
      </c>
      <c r="O78" t="s">
        <v>1550</v>
      </c>
      <c r="P78" t="s">
        <v>927</v>
      </c>
      <c r="S78" t="s">
        <v>1551</v>
      </c>
      <c r="T78" t="s">
        <v>1261</v>
      </c>
      <c r="U78" t="s">
        <v>1262</v>
      </c>
      <c r="V78">
        <v>1592688</v>
      </c>
      <c r="W78" t="s">
        <v>1551</v>
      </c>
      <c r="X78" t="s">
        <v>1263</v>
      </c>
      <c r="Y78" t="s">
        <v>1552</v>
      </c>
      <c r="Z78" t="s">
        <v>1553</v>
      </c>
      <c r="AA78" s="5">
        <v>46267.604861111111</v>
      </c>
      <c r="AB78" t="s">
        <v>1266</v>
      </c>
      <c r="AD78" t="s">
        <v>1268</v>
      </c>
      <c r="AE78" t="s">
        <v>1269</v>
      </c>
      <c r="AF78" t="s">
        <v>1270</v>
      </c>
    </row>
    <row r="79" spans="1:32" x14ac:dyDescent="0.25">
      <c r="B79">
        <v>414936</v>
      </c>
      <c r="C79" t="s">
        <v>1310</v>
      </c>
      <c r="D79" t="s">
        <v>1286</v>
      </c>
      <c r="F79" t="s">
        <v>1259</v>
      </c>
      <c r="G79">
        <v>10000</v>
      </c>
      <c r="H79">
        <v>0</v>
      </c>
      <c r="I79">
        <v>15</v>
      </c>
      <c r="J79">
        <v>22</v>
      </c>
      <c r="K79">
        <v>0</v>
      </c>
      <c r="L79">
        <v>0</v>
      </c>
      <c r="M79">
        <v>11289</v>
      </c>
      <c r="N79" s="4">
        <v>46267</v>
      </c>
      <c r="O79" t="s">
        <v>1554</v>
      </c>
      <c r="P79" t="s">
        <v>923</v>
      </c>
      <c r="T79" t="s">
        <v>1261</v>
      </c>
      <c r="U79" t="s">
        <v>1262</v>
      </c>
      <c r="V79">
        <v>414936</v>
      </c>
      <c r="X79" t="s">
        <v>1263</v>
      </c>
      <c r="Y79" t="s">
        <v>1555</v>
      </c>
      <c r="Z79" t="s">
        <v>1556</v>
      </c>
      <c r="AA79" s="5">
        <v>46267.611805555556</v>
      </c>
      <c r="AB79" t="s">
        <v>1266</v>
      </c>
      <c r="AD79" t="s">
        <v>1268</v>
      </c>
      <c r="AE79" t="s">
        <v>1269</v>
      </c>
      <c r="AF79" t="s">
        <v>1270</v>
      </c>
    </row>
    <row r="80" spans="1:32" hidden="1" x14ac:dyDescent="0.25">
      <c r="A80">
        <v>756756</v>
      </c>
      <c r="B80">
        <v>254714726804</v>
      </c>
      <c r="C80" t="s">
        <v>1557</v>
      </c>
      <c r="D80" t="s">
        <v>1286</v>
      </c>
      <c r="F80" t="s">
        <v>1259</v>
      </c>
      <c r="G80">
        <v>200</v>
      </c>
      <c r="H80">
        <v>0</v>
      </c>
      <c r="I80">
        <v>10</v>
      </c>
      <c r="J80">
        <v>0</v>
      </c>
      <c r="K80">
        <v>0</v>
      </c>
      <c r="L80">
        <v>0</v>
      </c>
      <c r="M80">
        <v>14873</v>
      </c>
      <c r="N80" s="4">
        <v>46267</v>
      </c>
      <c r="O80" t="s">
        <v>1558</v>
      </c>
      <c r="Q80" t="s">
        <v>1559</v>
      </c>
      <c r="T80" t="s">
        <v>1261</v>
      </c>
      <c r="U80" t="s">
        <v>1262</v>
      </c>
      <c r="V80">
        <v>3144083</v>
      </c>
      <c r="X80" t="s">
        <v>1263</v>
      </c>
      <c r="Y80" t="s">
        <v>1560</v>
      </c>
      <c r="Z80" t="s">
        <v>1560</v>
      </c>
      <c r="AA80" s="5">
        <v>46267.618750000001</v>
      </c>
      <c r="AB80" t="s">
        <v>1345</v>
      </c>
      <c r="AC80" t="s">
        <v>1293</v>
      </c>
      <c r="AD80" t="s">
        <v>1346</v>
      </c>
      <c r="AE80" t="s">
        <v>1347</v>
      </c>
      <c r="AF80" t="s">
        <v>1561</v>
      </c>
    </row>
    <row r="81" spans="1:32" x14ac:dyDescent="0.25">
      <c r="A81">
        <v>756756</v>
      </c>
      <c r="B81">
        <v>254706564824</v>
      </c>
      <c r="C81" t="s">
        <v>1562</v>
      </c>
      <c r="D81" t="s">
        <v>1286</v>
      </c>
      <c r="F81" t="s">
        <v>1259</v>
      </c>
      <c r="G81">
        <v>1170</v>
      </c>
      <c r="H81">
        <v>0</v>
      </c>
      <c r="I81">
        <v>25</v>
      </c>
      <c r="J81">
        <v>0</v>
      </c>
      <c r="K81">
        <v>0</v>
      </c>
      <c r="L81">
        <v>0</v>
      </c>
      <c r="M81">
        <v>52892</v>
      </c>
      <c r="N81" s="4">
        <v>46267</v>
      </c>
      <c r="O81" t="s">
        <v>1563</v>
      </c>
      <c r="P81" t="s">
        <v>918</v>
      </c>
      <c r="S81" t="s">
        <v>1564</v>
      </c>
      <c r="T81" t="s">
        <v>1261</v>
      </c>
      <c r="U81" t="s">
        <v>1262</v>
      </c>
      <c r="V81">
        <v>852648</v>
      </c>
      <c r="W81" t="s">
        <v>1564</v>
      </c>
      <c r="X81" t="s">
        <v>1263</v>
      </c>
      <c r="Y81" t="s">
        <v>1565</v>
      </c>
      <c r="Z81">
        <v>66950</v>
      </c>
      <c r="AA81" s="5">
        <v>46267.62222222222</v>
      </c>
      <c r="AB81" t="s">
        <v>1266</v>
      </c>
      <c r="AC81" t="s">
        <v>1293</v>
      </c>
      <c r="AD81" t="s">
        <v>1268</v>
      </c>
      <c r="AE81" t="s">
        <v>1269</v>
      </c>
      <c r="AF81" t="s">
        <v>1270</v>
      </c>
    </row>
    <row r="82" spans="1:32" x14ac:dyDescent="0.25">
      <c r="B82">
        <v>469005</v>
      </c>
      <c r="C82" t="s">
        <v>1528</v>
      </c>
      <c r="D82" t="s">
        <v>1257</v>
      </c>
      <c r="E82" t="s">
        <v>1258</v>
      </c>
      <c r="F82" t="s">
        <v>1259</v>
      </c>
      <c r="G82">
        <v>1500</v>
      </c>
      <c r="H82">
        <v>0</v>
      </c>
      <c r="I82">
        <v>10</v>
      </c>
      <c r="J82">
        <v>0</v>
      </c>
      <c r="K82">
        <v>1</v>
      </c>
      <c r="L82">
        <v>0</v>
      </c>
      <c r="M82">
        <v>1772.2</v>
      </c>
      <c r="N82" s="4">
        <v>46267</v>
      </c>
      <c r="O82" t="s">
        <v>1566</v>
      </c>
      <c r="P82" t="s">
        <v>916</v>
      </c>
      <c r="T82" t="s">
        <v>1261</v>
      </c>
      <c r="U82" t="s">
        <v>1262</v>
      </c>
      <c r="V82">
        <v>4293700</v>
      </c>
      <c r="X82" t="s">
        <v>1263</v>
      </c>
      <c r="Y82" t="s">
        <v>1567</v>
      </c>
      <c r="Z82" t="s">
        <v>1567</v>
      </c>
      <c r="AA82" s="5">
        <v>46267.631944444445</v>
      </c>
      <c r="AB82" t="s">
        <v>1266</v>
      </c>
      <c r="AC82" t="s">
        <v>1531</v>
      </c>
      <c r="AD82" t="s">
        <v>1268</v>
      </c>
      <c r="AE82" t="s">
        <v>1269</v>
      </c>
      <c r="AF82" t="s">
        <v>1270</v>
      </c>
    </row>
    <row r="83" spans="1:32" x14ac:dyDescent="0.25">
      <c r="A83">
        <v>756756</v>
      </c>
      <c r="B83">
        <v>70737</v>
      </c>
      <c r="C83" t="s">
        <v>1568</v>
      </c>
      <c r="D83" t="s">
        <v>1569</v>
      </c>
      <c r="F83" t="s">
        <v>1259</v>
      </c>
      <c r="G83">
        <v>500</v>
      </c>
      <c r="H83">
        <v>0</v>
      </c>
      <c r="I83">
        <v>10</v>
      </c>
      <c r="J83">
        <v>0</v>
      </c>
      <c r="K83">
        <v>0</v>
      </c>
      <c r="L83">
        <v>0</v>
      </c>
      <c r="M83">
        <v>4875</v>
      </c>
      <c r="N83" s="4">
        <v>46267</v>
      </c>
      <c r="O83" t="s">
        <v>1570</v>
      </c>
      <c r="P83" t="s">
        <v>911</v>
      </c>
      <c r="S83" t="s">
        <v>1571</v>
      </c>
      <c r="T83" t="s">
        <v>1261</v>
      </c>
      <c r="U83" t="s">
        <v>1262</v>
      </c>
      <c r="V83">
        <v>4004309</v>
      </c>
      <c r="W83" t="s">
        <v>1571</v>
      </c>
      <c r="X83" t="s">
        <v>1263</v>
      </c>
      <c r="Y83" t="s">
        <v>1572</v>
      </c>
      <c r="Z83" t="s">
        <v>915</v>
      </c>
      <c r="AA83" s="5">
        <v>46267.634027777778</v>
      </c>
      <c r="AB83" t="s">
        <v>1266</v>
      </c>
      <c r="AC83" t="s">
        <v>1293</v>
      </c>
      <c r="AD83" t="s">
        <v>1268</v>
      </c>
      <c r="AE83" t="s">
        <v>1269</v>
      </c>
      <c r="AF83" t="s">
        <v>1270</v>
      </c>
    </row>
    <row r="84" spans="1:32" x14ac:dyDescent="0.25">
      <c r="B84">
        <v>520420</v>
      </c>
      <c r="C84" t="s">
        <v>1392</v>
      </c>
      <c r="D84" t="s">
        <v>1286</v>
      </c>
      <c r="F84" t="s">
        <v>1259</v>
      </c>
      <c r="G84">
        <v>6000</v>
      </c>
      <c r="H84">
        <v>0</v>
      </c>
      <c r="I84">
        <v>15</v>
      </c>
      <c r="J84">
        <v>16</v>
      </c>
      <c r="K84">
        <v>0</v>
      </c>
      <c r="L84">
        <v>0</v>
      </c>
      <c r="M84">
        <v>82419.224000000002</v>
      </c>
      <c r="N84" s="4">
        <v>46267</v>
      </c>
      <c r="O84" t="s">
        <v>1573</v>
      </c>
      <c r="P84" t="s">
        <v>907</v>
      </c>
      <c r="T84" t="s">
        <v>1261</v>
      </c>
      <c r="U84" t="s">
        <v>1262</v>
      </c>
      <c r="V84">
        <v>520420</v>
      </c>
      <c r="X84" t="s">
        <v>1263</v>
      </c>
      <c r="Y84" t="s">
        <v>1574</v>
      </c>
      <c r="Z84" t="s">
        <v>1575</v>
      </c>
      <c r="AA84" s="5">
        <v>46267.642361111109</v>
      </c>
      <c r="AB84" t="s">
        <v>1266</v>
      </c>
      <c r="AD84" t="s">
        <v>1268</v>
      </c>
      <c r="AE84" t="s">
        <v>1269</v>
      </c>
      <c r="AF84" t="s">
        <v>1270</v>
      </c>
    </row>
    <row r="85" spans="1:32" x14ac:dyDescent="0.25">
      <c r="B85">
        <v>706931</v>
      </c>
      <c r="C85" t="s">
        <v>1576</v>
      </c>
      <c r="D85" t="s">
        <v>1257</v>
      </c>
      <c r="E85" t="s">
        <v>1258</v>
      </c>
      <c r="F85" t="s">
        <v>1259</v>
      </c>
      <c r="G85">
        <v>200000</v>
      </c>
      <c r="H85">
        <v>0</v>
      </c>
      <c r="I85">
        <v>15</v>
      </c>
      <c r="J85">
        <v>0</v>
      </c>
      <c r="K85">
        <v>1</v>
      </c>
      <c r="L85">
        <v>0</v>
      </c>
      <c r="M85">
        <v>195628.96</v>
      </c>
      <c r="N85" s="4">
        <v>46267</v>
      </c>
      <c r="O85" t="s">
        <v>1577</v>
      </c>
      <c r="P85" t="s">
        <v>905</v>
      </c>
      <c r="T85" t="s">
        <v>1261</v>
      </c>
      <c r="U85" t="s">
        <v>1262</v>
      </c>
      <c r="V85">
        <v>519025</v>
      </c>
      <c r="X85" t="s">
        <v>1263</v>
      </c>
      <c r="Y85" t="s">
        <v>1578</v>
      </c>
      <c r="Z85" t="s">
        <v>1579</v>
      </c>
      <c r="AA85" s="5">
        <v>46267.645138888889</v>
      </c>
      <c r="AB85" t="s">
        <v>1266</v>
      </c>
      <c r="AD85" t="s">
        <v>1268</v>
      </c>
      <c r="AE85" t="s">
        <v>1269</v>
      </c>
      <c r="AF85" t="s">
        <v>1270</v>
      </c>
    </row>
    <row r="86" spans="1:32" x14ac:dyDescent="0.25">
      <c r="B86">
        <v>706931</v>
      </c>
      <c r="C86" t="s">
        <v>1576</v>
      </c>
      <c r="D86" t="s">
        <v>1257</v>
      </c>
      <c r="E86" t="s">
        <v>1258</v>
      </c>
      <c r="F86" t="s">
        <v>1259</v>
      </c>
      <c r="G86">
        <v>100000</v>
      </c>
      <c r="H86">
        <v>0</v>
      </c>
      <c r="I86">
        <v>15</v>
      </c>
      <c r="J86">
        <v>0</v>
      </c>
      <c r="K86">
        <v>1</v>
      </c>
      <c r="L86">
        <v>0</v>
      </c>
      <c r="M86">
        <v>95612.96</v>
      </c>
      <c r="N86" s="4">
        <v>46267</v>
      </c>
      <c r="O86" t="s">
        <v>1580</v>
      </c>
      <c r="P86" t="s">
        <v>901</v>
      </c>
      <c r="T86" t="s">
        <v>1261</v>
      </c>
      <c r="U86" t="s">
        <v>1262</v>
      </c>
      <c r="V86">
        <v>519025</v>
      </c>
      <c r="X86" t="s">
        <v>1263</v>
      </c>
      <c r="Y86" t="s">
        <v>1581</v>
      </c>
      <c r="Z86" t="s">
        <v>1582</v>
      </c>
      <c r="AA86" s="5">
        <v>46267.645138888889</v>
      </c>
      <c r="AB86" t="s">
        <v>1266</v>
      </c>
      <c r="AD86" t="s">
        <v>1268</v>
      </c>
      <c r="AE86" t="s">
        <v>1269</v>
      </c>
      <c r="AF86" t="s">
        <v>1270</v>
      </c>
    </row>
    <row r="87" spans="1:32" x14ac:dyDescent="0.25">
      <c r="A87">
        <v>756756</v>
      </c>
      <c r="B87">
        <v>254795390620</v>
      </c>
      <c r="C87" t="s">
        <v>1583</v>
      </c>
      <c r="D87" t="s">
        <v>1386</v>
      </c>
      <c r="F87" t="s">
        <v>1259</v>
      </c>
      <c r="G87">
        <v>600</v>
      </c>
      <c r="H87">
        <v>0</v>
      </c>
      <c r="I87">
        <v>10</v>
      </c>
      <c r="J87">
        <v>0</v>
      </c>
      <c r="K87">
        <v>0</v>
      </c>
      <c r="L87">
        <v>0</v>
      </c>
      <c r="M87">
        <v>28619</v>
      </c>
      <c r="N87" s="4">
        <v>46267</v>
      </c>
      <c r="O87" t="s">
        <v>1584</v>
      </c>
      <c r="P87" t="s">
        <v>899</v>
      </c>
      <c r="T87" t="s">
        <v>1261</v>
      </c>
      <c r="U87" t="s">
        <v>1262</v>
      </c>
      <c r="V87">
        <v>5291253</v>
      </c>
      <c r="X87" t="s">
        <v>1263</v>
      </c>
      <c r="Y87" t="s">
        <v>1585</v>
      </c>
      <c r="Z87" t="s">
        <v>1585</v>
      </c>
      <c r="AA87" s="5">
        <v>46267.645138888889</v>
      </c>
      <c r="AB87" t="s">
        <v>1266</v>
      </c>
      <c r="AC87" t="s">
        <v>1293</v>
      </c>
      <c r="AD87" t="s">
        <v>1268</v>
      </c>
      <c r="AE87" t="s">
        <v>1269</v>
      </c>
      <c r="AF87" t="s">
        <v>1270</v>
      </c>
    </row>
    <row r="88" spans="1:32" x14ac:dyDescent="0.25">
      <c r="A88">
        <v>756756</v>
      </c>
      <c r="B88">
        <v>254703822239</v>
      </c>
      <c r="C88" t="s">
        <v>1586</v>
      </c>
      <c r="D88" t="s">
        <v>1286</v>
      </c>
      <c r="F88" t="s">
        <v>1259</v>
      </c>
      <c r="G88">
        <v>11500</v>
      </c>
      <c r="H88">
        <v>0</v>
      </c>
      <c r="I88">
        <v>70</v>
      </c>
      <c r="J88">
        <v>0</v>
      </c>
      <c r="K88">
        <v>0</v>
      </c>
      <c r="L88">
        <v>0</v>
      </c>
      <c r="M88">
        <v>10669</v>
      </c>
      <c r="N88" s="4">
        <v>46267</v>
      </c>
      <c r="O88" t="s">
        <v>1587</v>
      </c>
      <c r="P88" t="s">
        <v>895</v>
      </c>
      <c r="S88" t="s">
        <v>1588</v>
      </c>
      <c r="T88" t="s">
        <v>1261</v>
      </c>
      <c r="U88" t="s">
        <v>1262</v>
      </c>
      <c r="V88">
        <v>600100</v>
      </c>
      <c r="W88" t="s">
        <v>1588</v>
      </c>
      <c r="X88" t="s">
        <v>1263</v>
      </c>
      <c r="Y88" t="s">
        <v>1589</v>
      </c>
      <c r="Z88">
        <v>106547</v>
      </c>
      <c r="AA88" s="5">
        <v>46267.649305555555</v>
      </c>
      <c r="AB88" t="s">
        <v>1266</v>
      </c>
      <c r="AC88" t="s">
        <v>1293</v>
      </c>
      <c r="AD88" t="s">
        <v>1268</v>
      </c>
      <c r="AE88" t="s">
        <v>1269</v>
      </c>
      <c r="AF88" t="s">
        <v>1270</v>
      </c>
    </row>
    <row r="89" spans="1:32" x14ac:dyDescent="0.25">
      <c r="A89">
        <v>756756</v>
      </c>
      <c r="B89">
        <v>254746383172</v>
      </c>
      <c r="C89" t="s">
        <v>1590</v>
      </c>
      <c r="D89" t="s">
        <v>1286</v>
      </c>
      <c r="F89" t="s">
        <v>1259</v>
      </c>
      <c r="G89">
        <v>1500</v>
      </c>
      <c r="H89">
        <v>0</v>
      </c>
      <c r="I89">
        <v>10</v>
      </c>
      <c r="J89">
        <v>0</v>
      </c>
      <c r="K89">
        <v>0</v>
      </c>
      <c r="L89">
        <v>0</v>
      </c>
      <c r="M89">
        <v>15179</v>
      </c>
      <c r="N89" s="4">
        <v>46267</v>
      </c>
      <c r="O89" t="s">
        <v>1591</v>
      </c>
      <c r="P89" t="s">
        <v>891</v>
      </c>
      <c r="T89" t="s">
        <v>1261</v>
      </c>
      <c r="U89" t="s">
        <v>1262</v>
      </c>
      <c r="V89">
        <v>4788768</v>
      </c>
      <c r="X89" t="s">
        <v>1263</v>
      </c>
      <c r="Y89" t="s">
        <v>1592</v>
      </c>
      <c r="Z89" t="s">
        <v>1592</v>
      </c>
      <c r="AA89" s="5">
        <v>46267.652083333334</v>
      </c>
      <c r="AB89" t="s">
        <v>1266</v>
      </c>
      <c r="AC89" t="s">
        <v>1293</v>
      </c>
      <c r="AD89" t="s">
        <v>1268</v>
      </c>
      <c r="AE89" t="s">
        <v>1269</v>
      </c>
      <c r="AF89" t="s">
        <v>1270</v>
      </c>
    </row>
    <row r="90" spans="1:32" x14ac:dyDescent="0.25">
      <c r="A90">
        <v>756756</v>
      </c>
      <c r="B90">
        <v>254795390620</v>
      </c>
      <c r="C90" t="s">
        <v>1583</v>
      </c>
      <c r="D90" t="s">
        <v>1386</v>
      </c>
      <c r="F90" t="s">
        <v>1259</v>
      </c>
      <c r="G90">
        <v>12000</v>
      </c>
      <c r="H90">
        <v>0</v>
      </c>
      <c r="I90">
        <v>15</v>
      </c>
      <c r="J90">
        <v>0</v>
      </c>
      <c r="K90">
        <v>0</v>
      </c>
      <c r="L90">
        <v>0</v>
      </c>
      <c r="M90">
        <v>16604</v>
      </c>
      <c r="N90" s="4">
        <v>46267</v>
      </c>
      <c r="O90" t="s">
        <v>1593</v>
      </c>
      <c r="P90" t="s">
        <v>887</v>
      </c>
      <c r="T90" t="s">
        <v>1261</v>
      </c>
      <c r="U90" t="s">
        <v>1262</v>
      </c>
      <c r="V90">
        <v>5291253</v>
      </c>
      <c r="X90" t="s">
        <v>1263</v>
      </c>
      <c r="Y90" t="s">
        <v>1594</v>
      </c>
      <c r="Z90" t="s">
        <v>1594</v>
      </c>
      <c r="AA90" s="5">
        <v>46267.65347222222</v>
      </c>
      <c r="AB90" t="s">
        <v>1266</v>
      </c>
      <c r="AC90" t="s">
        <v>1293</v>
      </c>
      <c r="AD90" t="s">
        <v>1268</v>
      </c>
      <c r="AE90" t="s">
        <v>1269</v>
      </c>
      <c r="AF90" t="s">
        <v>1270</v>
      </c>
    </row>
    <row r="91" spans="1:32" x14ac:dyDescent="0.25">
      <c r="B91">
        <v>520420</v>
      </c>
      <c r="C91" t="s">
        <v>1392</v>
      </c>
      <c r="D91" t="s">
        <v>1286</v>
      </c>
      <c r="F91" t="s">
        <v>1259</v>
      </c>
      <c r="G91">
        <v>13470</v>
      </c>
      <c r="H91">
        <v>0</v>
      </c>
      <c r="I91">
        <v>72</v>
      </c>
      <c r="J91">
        <v>23</v>
      </c>
      <c r="K91">
        <v>0</v>
      </c>
      <c r="L91">
        <v>0</v>
      </c>
      <c r="M91">
        <v>51753.224000000002</v>
      </c>
      <c r="N91" s="4">
        <v>46267</v>
      </c>
      <c r="O91" t="s">
        <v>1595</v>
      </c>
      <c r="P91" t="s">
        <v>882</v>
      </c>
      <c r="S91" t="s">
        <v>1596</v>
      </c>
      <c r="T91" t="s">
        <v>1261</v>
      </c>
      <c r="U91" t="s">
        <v>1262</v>
      </c>
      <c r="V91">
        <v>520420</v>
      </c>
      <c r="W91" t="s">
        <v>1596</v>
      </c>
      <c r="X91" t="s">
        <v>1263</v>
      </c>
      <c r="Y91" t="s">
        <v>1597</v>
      </c>
      <c r="Z91" t="s">
        <v>1598</v>
      </c>
      <c r="AA91" s="5">
        <v>46267.667361111111</v>
      </c>
      <c r="AB91" t="s">
        <v>1266</v>
      </c>
      <c r="AD91" t="s">
        <v>1268</v>
      </c>
      <c r="AE91" t="s">
        <v>1269</v>
      </c>
      <c r="AF91" t="s">
        <v>1270</v>
      </c>
    </row>
    <row r="92" spans="1:32" x14ac:dyDescent="0.25">
      <c r="B92">
        <v>1371424</v>
      </c>
      <c r="C92" t="s">
        <v>1599</v>
      </c>
      <c r="D92" t="s">
        <v>1286</v>
      </c>
      <c r="F92" t="s">
        <v>1259</v>
      </c>
      <c r="G92">
        <v>30000</v>
      </c>
      <c r="H92">
        <v>0</v>
      </c>
      <c r="I92">
        <v>92</v>
      </c>
      <c r="J92">
        <v>120</v>
      </c>
      <c r="K92">
        <v>0</v>
      </c>
      <c r="L92">
        <v>0</v>
      </c>
      <c r="M92">
        <v>25581</v>
      </c>
      <c r="N92" s="4">
        <v>46267</v>
      </c>
      <c r="O92" t="s">
        <v>1600</v>
      </c>
      <c r="P92" t="s">
        <v>876</v>
      </c>
      <c r="S92" t="s">
        <v>1407</v>
      </c>
      <c r="T92" t="s">
        <v>1261</v>
      </c>
      <c r="U92" t="s">
        <v>1262</v>
      </c>
      <c r="V92">
        <v>1371424</v>
      </c>
      <c r="W92" t="s">
        <v>1407</v>
      </c>
      <c r="X92" t="s">
        <v>1263</v>
      </c>
      <c r="Y92" t="s">
        <v>1601</v>
      </c>
      <c r="Z92" t="s">
        <v>1602</v>
      </c>
      <c r="AA92" s="5">
        <v>46267.672222222223</v>
      </c>
      <c r="AB92" t="s">
        <v>1266</v>
      </c>
      <c r="AD92" t="s">
        <v>1268</v>
      </c>
      <c r="AE92" t="s">
        <v>1269</v>
      </c>
      <c r="AF92" t="s">
        <v>1270</v>
      </c>
    </row>
    <row r="93" spans="1:32" x14ac:dyDescent="0.25">
      <c r="B93">
        <v>110311</v>
      </c>
      <c r="C93" t="s">
        <v>1415</v>
      </c>
      <c r="D93" t="s">
        <v>1416</v>
      </c>
      <c r="E93" t="s">
        <v>1258</v>
      </c>
      <c r="F93" t="s">
        <v>1259</v>
      </c>
      <c r="G93">
        <v>46115</v>
      </c>
      <c r="H93">
        <v>0</v>
      </c>
      <c r="I93">
        <v>136</v>
      </c>
      <c r="J93">
        <v>0</v>
      </c>
      <c r="K93">
        <v>1</v>
      </c>
      <c r="L93">
        <v>0</v>
      </c>
      <c r="M93">
        <v>438682</v>
      </c>
      <c r="N93" s="4">
        <v>46267</v>
      </c>
      <c r="O93" t="s">
        <v>1603</v>
      </c>
      <c r="P93" t="s">
        <v>872</v>
      </c>
      <c r="S93" t="s">
        <v>1604</v>
      </c>
      <c r="T93" t="s">
        <v>1261</v>
      </c>
      <c r="U93" t="s">
        <v>1262</v>
      </c>
      <c r="V93">
        <v>880100</v>
      </c>
      <c r="W93" t="s">
        <v>1604</v>
      </c>
      <c r="X93" t="s">
        <v>1263</v>
      </c>
      <c r="Y93" t="s">
        <v>1605</v>
      </c>
      <c r="Z93" t="s">
        <v>875</v>
      </c>
      <c r="AA93" s="5">
        <v>46267.679166666669</v>
      </c>
      <c r="AB93" t="s">
        <v>1266</v>
      </c>
      <c r="AD93" t="s">
        <v>1268</v>
      </c>
      <c r="AE93" t="s">
        <v>1269</v>
      </c>
      <c r="AF93" t="s">
        <v>1270</v>
      </c>
    </row>
    <row r="94" spans="1:32" x14ac:dyDescent="0.25">
      <c r="B94">
        <v>379411</v>
      </c>
      <c r="C94" t="s">
        <v>1524</v>
      </c>
      <c r="D94" t="s">
        <v>1257</v>
      </c>
      <c r="F94" t="s">
        <v>1259</v>
      </c>
      <c r="G94">
        <v>21500</v>
      </c>
      <c r="H94">
        <v>0</v>
      </c>
      <c r="I94">
        <v>87</v>
      </c>
      <c r="J94">
        <v>0</v>
      </c>
      <c r="K94">
        <v>1</v>
      </c>
      <c r="L94">
        <v>0</v>
      </c>
      <c r="M94">
        <v>1063177.872</v>
      </c>
      <c r="N94" s="4">
        <v>46267</v>
      </c>
      <c r="O94" t="s">
        <v>1606</v>
      </c>
      <c r="P94" t="s">
        <v>867</v>
      </c>
      <c r="S94" t="s">
        <v>1326</v>
      </c>
      <c r="T94" t="s">
        <v>1261</v>
      </c>
      <c r="U94" t="s">
        <v>1262</v>
      </c>
      <c r="V94">
        <v>247247</v>
      </c>
      <c r="W94" t="s">
        <v>1326</v>
      </c>
      <c r="X94" t="s">
        <v>1263</v>
      </c>
      <c r="Y94" t="s">
        <v>1607</v>
      </c>
      <c r="Z94" t="s">
        <v>1608</v>
      </c>
      <c r="AA94" s="5">
        <v>46267.679861111108</v>
      </c>
      <c r="AB94" t="s">
        <v>1266</v>
      </c>
      <c r="AC94" t="s">
        <v>1267</v>
      </c>
      <c r="AD94" t="s">
        <v>1268</v>
      </c>
      <c r="AE94" t="s">
        <v>1269</v>
      </c>
      <c r="AF94" t="s">
        <v>1270</v>
      </c>
    </row>
    <row r="95" spans="1:32" x14ac:dyDescent="0.25">
      <c r="B95">
        <v>395390</v>
      </c>
      <c r="C95" t="s">
        <v>1609</v>
      </c>
      <c r="D95" t="s">
        <v>1257</v>
      </c>
      <c r="E95" t="s">
        <v>1258</v>
      </c>
      <c r="F95" t="s">
        <v>1259</v>
      </c>
      <c r="G95">
        <v>6483</v>
      </c>
      <c r="H95">
        <v>0</v>
      </c>
      <c r="I95">
        <v>57</v>
      </c>
      <c r="J95">
        <v>0</v>
      </c>
      <c r="K95">
        <v>0</v>
      </c>
      <c r="L95">
        <v>0</v>
      </c>
      <c r="M95">
        <v>4427902</v>
      </c>
      <c r="N95" s="4">
        <v>46267</v>
      </c>
      <c r="O95" t="s">
        <v>1610</v>
      </c>
      <c r="P95" t="s">
        <v>858</v>
      </c>
      <c r="S95" t="s">
        <v>1564</v>
      </c>
      <c r="T95" t="s">
        <v>1261</v>
      </c>
      <c r="U95" t="s">
        <v>1262</v>
      </c>
      <c r="V95">
        <v>852648</v>
      </c>
      <c r="W95" t="s">
        <v>1564</v>
      </c>
      <c r="X95" t="s">
        <v>1263</v>
      </c>
      <c r="Y95" t="s">
        <v>1611</v>
      </c>
      <c r="Z95" t="s">
        <v>1612</v>
      </c>
      <c r="AA95" s="5">
        <v>46267.684027777781</v>
      </c>
      <c r="AB95" t="s">
        <v>1266</v>
      </c>
      <c r="AC95" t="s">
        <v>1267</v>
      </c>
      <c r="AD95" t="s">
        <v>1268</v>
      </c>
      <c r="AE95" t="s">
        <v>1269</v>
      </c>
      <c r="AF95" t="s">
        <v>1270</v>
      </c>
    </row>
    <row r="96" spans="1:32" x14ac:dyDescent="0.25">
      <c r="B96">
        <v>395390</v>
      </c>
      <c r="C96" t="s">
        <v>1609</v>
      </c>
      <c r="D96" t="s">
        <v>1257</v>
      </c>
      <c r="E96" t="s">
        <v>1258</v>
      </c>
      <c r="F96" t="s">
        <v>1259</v>
      </c>
      <c r="G96">
        <v>12537</v>
      </c>
      <c r="H96">
        <v>0</v>
      </c>
      <c r="I96">
        <v>72</v>
      </c>
      <c r="J96">
        <v>0</v>
      </c>
      <c r="K96">
        <v>0</v>
      </c>
      <c r="L96">
        <v>0</v>
      </c>
      <c r="M96">
        <v>4394280</v>
      </c>
      <c r="N96" s="4">
        <v>46267</v>
      </c>
      <c r="O96" t="s">
        <v>1613</v>
      </c>
      <c r="P96" t="s">
        <v>863</v>
      </c>
      <c r="S96" t="s">
        <v>1614</v>
      </c>
      <c r="T96" t="s">
        <v>1261</v>
      </c>
      <c r="U96" t="s">
        <v>1262</v>
      </c>
      <c r="V96">
        <v>765244</v>
      </c>
      <c r="W96" t="s">
        <v>1614</v>
      </c>
      <c r="X96" t="s">
        <v>1263</v>
      </c>
      <c r="Y96" t="s">
        <v>1615</v>
      </c>
      <c r="Z96" t="s">
        <v>1616</v>
      </c>
      <c r="AA96" s="5">
        <v>46267.684027777781</v>
      </c>
      <c r="AB96" t="s">
        <v>1266</v>
      </c>
      <c r="AC96" t="s">
        <v>1267</v>
      </c>
      <c r="AD96" t="s">
        <v>1268</v>
      </c>
      <c r="AE96" t="s">
        <v>1269</v>
      </c>
      <c r="AF96" t="s">
        <v>1270</v>
      </c>
    </row>
    <row r="97" spans="2:32" x14ac:dyDescent="0.25">
      <c r="B97">
        <v>395390</v>
      </c>
      <c r="C97" t="s">
        <v>1609</v>
      </c>
      <c r="D97" t="s">
        <v>1257</v>
      </c>
      <c r="E97" t="s">
        <v>1258</v>
      </c>
      <c r="F97" t="s">
        <v>1259</v>
      </c>
      <c r="G97">
        <v>5260</v>
      </c>
      <c r="H97">
        <v>0</v>
      </c>
      <c r="I97">
        <v>57</v>
      </c>
      <c r="J97">
        <v>0</v>
      </c>
      <c r="K97">
        <v>0</v>
      </c>
      <c r="L97">
        <v>0</v>
      </c>
      <c r="M97">
        <v>4388963</v>
      </c>
      <c r="N97" s="4">
        <v>46267</v>
      </c>
      <c r="O97" t="s">
        <v>1617</v>
      </c>
      <c r="P97" t="s">
        <v>850</v>
      </c>
      <c r="S97" t="s">
        <v>1614</v>
      </c>
      <c r="T97" t="s">
        <v>1261</v>
      </c>
      <c r="U97" t="s">
        <v>1262</v>
      </c>
      <c r="V97">
        <v>765244</v>
      </c>
      <c r="W97" t="s">
        <v>1614</v>
      </c>
      <c r="X97" t="s">
        <v>1263</v>
      </c>
      <c r="Y97" t="s">
        <v>1618</v>
      </c>
      <c r="Z97" t="s">
        <v>1619</v>
      </c>
      <c r="AA97" s="5">
        <v>46267.684027777781</v>
      </c>
      <c r="AB97" t="s">
        <v>1266</v>
      </c>
      <c r="AC97" t="s">
        <v>1267</v>
      </c>
      <c r="AD97" t="s">
        <v>1268</v>
      </c>
      <c r="AE97" t="s">
        <v>1269</v>
      </c>
      <c r="AF97" t="s">
        <v>1270</v>
      </c>
    </row>
    <row r="98" spans="2:32" x14ac:dyDescent="0.25">
      <c r="B98">
        <v>395390</v>
      </c>
      <c r="C98" t="s">
        <v>1609</v>
      </c>
      <c r="D98" t="s">
        <v>1257</v>
      </c>
      <c r="E98" t="s">
        <v>1258</v>
      </c>
      <c r="F98" t="s">
        <v>1259</v>
      </c>
      <c r="G98">
        <v>3640</v>
      </c>
      <c r="H98">
        <v>0</v>
      </c>
      <c r="I98">
        <v>49</v>
      </c>
      <c r="J98">
        <v>0</v>
      </c>
      <c r="K98">
        <v>0</v>
      </c>
      <c r="L98">
        <v>0</v>
      </c>
      <c r="M98">
        <v>4339636</v>
      </c>
      <c r="N98" s="4">
        <v>46267</v>
      </c>
      <c r="O98" t="s">
        <v>1620</v>
      </c>
      <c r="P98" t="s">
        <v>854</v>
      </c>
      <c r="S98" t="s">
        <v>1614</v>
      </c>
      <c r="T98" t="s">
        <v>1261</v>
      </c>
      <c r="U98" t="s">
        <v>1262</v>
      </c>
      <c r="V98">
        <v>765244</v>
      </c>
      <c r="W98" t="s">
        <v>1614</v>
      </c>
      <c r="X98" t="s">
        <v>1263</v>
      </c>
      <c r="Y98" t="s">
        <v>1621</v>
      </c>
      <c r="Z98" t="s">
        <v>1622</v>
      </c>
      <c r="AA98" s="5">
        <v>46267.684027777781</v>
      </c>
      <c r="AB98" t="s">
        <v>1266</v>
      </c>
      <c r="AC98" t="s">
        <v>1267</v>
      </c>
      <c r="AD98" t="s">
        <v>1268</v>
      </c>
      <c r="AE98" t="s">
        <v>1269</v>
      </c>
      <c r="AF98" t="s">
        <v>1270</v>
      </c>
    </row>
    <row r="99" spans="2:32" x14ac:dyDescent="0.25">
      <c r="B99">
        <v>395390</v>
      </c>
      <c r="C99" t="s">
        <v>1609</v>
      </c>
      <c r="D99" t="s">
        <v>1257</v>
      </c>
      <c r="E99" t="s">
        <v>1258</v>
      </c>
      <c r="F99" t="s">
        <v>1259</v>
      </c>
      <c r="G99">
        <v>10346</v>
      </c>
      <c r="H99">
        <v>0</v>
      </c>
      <c r="I99">
        <v>72</v>
      </c>
      <c r="J99">
        <v>0</v>
      </c>
      <c r="K99">
        <v>0</v>
      </c>
      <c r="L99">
        <v>0</v>
      </c>
      <c r="M99">
        <v>4281723</v>
      </c>
      <c r="N99" s="4">
        <v>46267</v>
      </c>
      <c r="O99" t="s">
        <v>1623</v>
      </c>
      <c r="P99" t="s">
        <v>846</v>
      </c>
      <c r="S99" t="s">
        <v>1614</v>
      </c>
      <c r="T99" t="s">
        <v>1261</v>
      </c>
      <c r="U99" t="s">
        <v>1262</v>
      </c>
      <c r="V99">
        <v>765244</v>
      </c>
      <c r="W99" t="s">
        <v>1614</v>
      </c>
      <c r="X99" t="s">
        <v>1263</v>
      </c>
      <c r="Y99" t="s">
        <v>1624</v>
      </c>
      <c r="Z99" t="s">
        <v>1625</v>
      </c>
      <c r="AA99" s="5">
        <v>46267.684027777781</v>
      </c>
      <c r="AB99" t="s">
        <v>1266</v>
      </c>
      <c r="AC99" t="s">
        <v>1267</v>
      </c>
      <c r="AD99" t="s">
        <v>1268</v>
      </c>
      <c r="AE99" t="s">
        <v>1269</v>
      </c>
      <c r="AF99" t="s">
        <v>1270</v>
      </c>
    </row>
    <row r="100" spans="2:32" x14ac:dyDescent="0.25">
      <c r="B100">
        <v>395390</v>
      </c>
      <c r="C100" t="s">
        <v>1609</v>
      </c>
      <c r="D100" t="s">
        <v>1257</v>
      </c>
      <c r="E100" t="s">
        <v>1258</v>
      </c>
      <c r="F100" t="s">
        <v>1259</v>
      </c>
      <c r="G100">
        <v>6870</v>
      </c>
      <c r="H100">
        <v>0</v>
      </c>
      <c r="I100">
        <v>57</v>
      </c>
      <c r="J100">
        <v>0</v>
      </c>
      <c r="K100">
        <v>0</v>
      </c>
      <c r="L100">
        <v>0</v>
      </c>
      <c r="M100">
        <v>4274796</v>
      </c>
      <c r="N100" s="4">
        <v>46267</v>
      </c>
      <c r="O100" t="s">
        <v>1626</v>
      </c>
      <c r="P100" t="s">
        <v>836</v>
      </c>
      <c r="S100" t="s">
        <v>1627</v>
      </c>
      <c r="T100" t="s">
        <v>1261</v>
      </c>
      <c r="U100" t="s">
        <v>1262</v>
      </c>
      <c r="V100">
        <v>350050</v>
      </c>
      <c r="W100" t="s">
        <v>1627</v>
      </c>
      <c r="X100" t="s">
        <v>1263</v>
      </c>
      <c r="Y100" t="s">
        <v>1628</v>
      </c>
      <c r="Z100" t="s">
        <v>1629</v>
      </c>
      <c r="AA100" s="5">
        <v>46267.684027777781</v>
      </c>
      <c r="AB100" t="s">
        <v>1266</v>
      </c>
      <c r="AC100" t="s">
        <v>1267</v>
      </c>
      <c r="AD100" t="s">
        <v>1268</v>
      </c>
      <c r="AE100" t="s">
        <v>1269</v>
      </c>
      <c r="AF100" t="s">
        <v>1270</v>
      </c>
    </row>
    <row r="101" spans="2:32" x14ac:dyDescent="0.25">
      <c r="B101">
        <v>395390</v>
      </c>
      <c r="C101" t="s">
        <v>1609</v>
      </c>
      <c r="D101" t="s">
        <v>1257</v>
      </c>
      <c r="E101" t="s">
        <v>1258</v>
      </c>
      <c r="F101" t="s">
        <v>1259</v>
      </c>
      <c r="G101">
        <v>2527</v>
      </c>
      <c r="H101">
        <v>0</v>
      </c>
      <c r="I101">
        <v>40</v>
      </c>
      <c r="J101">
        <v>0</v>
      </c>
      <c r="K101">
        <v>0</v>
      </c>
      <c r="L101">
        <v>0</v>
      </c>
      <c r="M101">
        <v>4264024</v>
      </c>
      <c r="N101" s="4">
        <v>46267</v>
      </c>
      <c r="O101" t="s">
        <v>1630</v>
      </c>
      <c r="P101" t="s">
        <v>829</v>
      </c>
      <c r="S101" t="s">
        <v>1614</v>
      </c>
      <c r="T101" t="s">
        <v>1261</v>
      </c>
      <c r="U101" t="s">
        <v>1262</v>
      </c>
      <c r="V101">
        <v>765244</v>
      </c>
      <c r="W101" t="s">
        <v>1614</v>
      </c>
      <c r="X101" t="s">
        <v>1263</v>
      </c>
      <c r="Y101" t="s">
        <v>1631</v>
      </c>
      <c r="Z101" t="s">
        <v>1632</v>
      </c>
      <c r="AA101" s="5">
        <v>46267.684027777781</v>
      </c>
      <c r="AB101" t="s">
        <v>1266</v>
      </c>
      <c r="AC101" t="s">
        <v>1267</v>
      </c>
      <c r="AD101" t="s">
        <v>1268</v>
      </c>
      <c r="AE101" t="s">
        <v>1269</v>
      </c>
      <c r="AF101" t="s">
        <v>1270</v>
      </c>
    </row>
    <row r="102" spans="2:32" x14ac:dyDescent="0.25">
      <c r="B102">
        <v>395390</v>
      </c>
      <c r="C102" t="s">
        <v>1609</v>
      </c>
      <c r="D102" t="s">
        <v>1257</v>
      </c>
      <c r="E102" t="s">
        <v>1258</v>
      </c>
      <c r="F102" t="s">
        <v>1259</v>
      </c>
      <c r="G102">
        <v>13682</v>
      </c>
      <c r="H102">
        <v>0</v>
      </c>
      <c r="I102">
        <v>72</v>
      </c>
      <c r="J102">
        <v>0</v>
      </c>
      <c r="K102">
        <v>0</v>
      </c>
      <c r="L102">
        <v>0</v>
      </c>
      <c r="M102">
        <v>4250270</v>
      </c>
      <c r="N102" s="4">
        <v>46267</v>
      </c>
      <c r="O102" t="s">
        <v>1633</v>
      </c>
      <c r="P102" t="s">
        <v>843</v>
      </c>
      <c r="S102" t="s">
        <v>1614</v>
      </c>
      <c r="T102" t="s">
        <v>1261</v>
      </c>
      <c r="U102" t="s">
        <v>1262</v>
      </c>
      <c r="V102">
        <v>765244</v>
      </c>
      <c r="W102" t="s">
        <v>1614</v>
      </c>
      <c r="X102" t="s">
        <v>1263</v>
      </c>
      <c r="Y102" t="s">
        <v>1634</v>
      </c>
      <c r="Z102" t="s">
        <v>1635</v>
      </c>
      <c r="AA102" s="5">
        <v>46267.684027777781</v>
      </c>
      <c r="AB102" t="s">
        <v>1266</v>
      </c>
      <c r="AC102" t="s">
        <v>1267</v>
      </c>
      <c r="AD102" t="s">
        <v>1268</v>
      </c>
      <c r="AE102" t="s">
        <v>1269</v>
      </c>
      <c r="AF102" t="s">
        <v>1270</v>
      </c>
    </row>
    <row r="103" spans="2:32" x14ac:dyDescent="0.25">
      <c r="B103">
        <v>395390</v>
      </c>
      <c r="C103" t="s">
        <v>1609</v>
      </c>
      <c r="D103" t="s">
        <v>1257</v>
      </c>
      <c r="E103" t="s">
        <v>1258</v>
      </c>
      <c r="F103" t="s">
        <v>1259</v>
      </c>
      <c r="G103">
        <v>3653</v>
      </c>
      <c r="H103">
        <v>0</v>
      </c>
      <c r="I103">
        <v>49</v>
      </c>
      <c r="J103">
        <v>0</v>
      </c>
      <c r="K103">
        <v>0</v>
      </c>
      <c r="L103">
        <v>0</v>
      </c>
      <c r="M103">
        <v>4242663</v>
      </c>
      <c r="N103" s="4">
        <v>46267</v>
      </c>
      <c r="O103" t="s">
        <v>1636</v>
      </c>
      <c r="P103" t="s">
        <v>825</v>
      </c>
      <c r="S103" t="s">
        <v>1614</v>
      </c>
      <c r="T103" t="s">
        <v>1261</v>
      </c>
      <c r="U103" t="s">
        <v>1262</v>
      </c>
      <c r="V103">
        <v>765244</v>
      </c>
      <c r="W103" t="s">
        <v>1614</v>
      </c>
      <c r="X103" t="s">
        <v>1263</v>
      </c>
      <c r="Y103" t="s">
        <v>1637</v>
      </c>
      <c r="Z103" t="s">
        <v>1638</v>
      </c>
      <c r="AA103" s="5">
        <v>46267.684027777781</v>
      </c>
      <c r="AB103" t="s">
        <v>1266</v>
      </c>
      <c r="AC103" t="s">
        <v>1267</v>
      </c>
      <c r="AD103" t="s">
        <v>1268</v>
      </c>
      <c r="AE103" t="s">
        <v>1269</v>
      </c>
      <c r="AF103" t="s">
        <v>1270</v>
      </c>
    </row>
    <row r="104" spans="2:32" x14ac:dyDescent="0.25">
      <c r="B104">
        <v>395390</v>
      </c>
      <c r="C104" t="s">
        <v>1609</v>
      </c>
      <c r="D104" t="s">
        <v>1257</v>
      </c>
      <c r="E104" t="s">
        <v>1258</v>
      </c>
      <c r="F104" t="s">
        <v>1259</v>
      </c>
      <c r="G104">
        <v>4389</v>
      </c>
      <c r="H104">
        <v>0</v>
      </c>
      <c r="I104">
        <v>49</v>
      </c>
      <c r="J104">
        <v>0</v>
      </c>
      <c r="K104">
        <v>0</v>
      </c>
      <c r="L104">
        <v>0</v>
      </c>
      <c r="M104">
        <v>4238225</v>
      </c>
      <c r="N104" s="4">
        <v>46267</v>
      </c>
      <c r="O104" t="s">
        <v>1639</v>
      </c>
      <c r="P104" t="s">
        <v>832</v>
      </c>
      <c r="S104" t="s">
        <v>1564</v>
      </c>
      <c r="T104" t="s">
        <v>1261</v>
      </c>
      <c r="U104" t="s">
        <v>1262</v>
      </c>
      <c r="V104">
        <v>852648</v>
      </c>
      <c r="W104" t="s">
        <v>1564</v>
      </c>
      <c r="X104" t="s">
        <v>1263</v>
      </c>
      <c r="Y104" t="s">
        <v>1640</v>
      </c>
      <c r="Z104" t="s">
        <v>1641</v>
      </c>
      <c r="AA104" s="5">
        <v>46267.684027777781</v>
      </c>
      <c r="AB104" t="s">
        <v>1266</v>
      </c>
      <c r="AC104" t="s">
        <v>1267</v>
      </c>
      <c r="AD104" t="s">
        <v>1268</v>
      </c>
      <c r="AE104" t="s">
        <v>1269</v>
      </c>
      <c r="AF104" t="s">
        <v>1270</v>
      </c>
    </row>
    <row r="105" spans="2:32" x14ac:dyDescent="0.25">
      <c r="B105">
        <v>395390</v>
      </c>
      <c r="C105" t="s">
        <v>1609</v>
      </c>
      <c r="D105" t="s">
        <v>1257</v>
      </c>
      <c r="E105" t="s">
        <v>1258</v>
      </c>
      <c r="F105" t="s">
        <v>1259</v>
      </c>
      <c r="G105">
        <v>6275</v>
      </c>
      <c r="H105">
        <v>0</v>
      </c>
      <c r="I105">
        <v>57</v>
      </c>
      <c r="J105">
        <v>0</v>
      </c>
      <c r="K105">
        <v>0</v>
      </c>
      <c r="L105">
        <v>0</v>
      </c>
      <c r="M105">
        <v>4223926</v>
      </c>
      <c r="N105" s="4">
        <v>46267</v>
      </c>
      <c r="O105" t="s">
        <v>1642</v>
      </c>
      <c r="P105" t="s">
        <v>840</v>
      </c>
      <c r="S105" t="s">
        <v>1614</v>
      </c>
      <c r="T105" t="s">
        <v>1261</v>
      </c>
      <c r="U105" t="s">
        <v>1262</v>
      </c>
      <c r="V105">
        <v>765244</v>
      </c>
      <c r="W105" t="s">
        <v>1614</v>
      </c>
      <c r="X105" t="s">
        <v>1263</v>
      </c>
      <c r="Y105" t="s">
        <v>1643</v>
      </c>
      <c r="Z105" t="s">
        <v>1644</v>
      </c>
      <c r="AA105" s="5">
        <v>46267.684027777781</v>
      </c>
      <c r="AB105" t="s">
        <v>1266</v>
      </c>
      <c r="AC105" t="s">
        <v>1267</v>
      </c>
      <c r="AD105" t="s">
        <v>1268</v>
      </c>
      <c r="AE105" t="s">
        <v>1269</v>
      </c>
      <c r="AF105" t="s">
        <v>1270</v>
      </c>
    </row>
    <row r="106" spans="2:32" x14ac:dyDescent="0.25">
      <c r="B106">
        <v>395390</v>
      </c>
      <c r="C106" t="s">
        <v>1609</v>
      </c>
      <c r="D106" t="s">
        <v>1257</v>
      </c>
      <c r="E106" t="s">
        <v>1258</v>
      </c>
      <c r="F106" t="s">
        <v>1259</v>
      </c>
      <c r="G106">
        <v>2434</v>
      </c>
      <c r="H106">
        <v>0</v>
      </c>
      <c r="I106">
        <v>35</v>
      </c>
      <c r="J106">
        <v>0</v>
      </c>
      <c r="K106">
        <v>0</v>
      </c>
      <c r="L106">
        <v>0</v>
      </c>
      <c r="M106">
        <v>4155852</v>
      </c>
      <c r="N106" s="4">
        <v>46267</v>
      </c>
      <c r="O106" t="s">
        <v>1645</v>
      </c>
      <c r="P106" t="s">
        <v>820</v>
      </c>
      <c r="S106" t="s">
        <v>1564</v>
      </c>
      <c r="T106" t="s">
        <v>1261</v>
      </c>
      <c r="U106" t="s">
        <v>1262</v>
      </c>
      <c r="V106">
        <v>852648</v>
      </c>
      <c r="W106" t="s">
        <v>1564</v>
      </c>
      <c r="X106" t="s">
        <v>1263</v>
      </c>
      <c r="Y106" t="s">
        <v>1646</v>
      </c>
      <c r="Z106" t="s">
        <v>1647</v>
      </c>
      <c r="AA106" s="5">
        <v>46267.684027777781</v>
      </c>
      <c r="AB106" t="s">
        <v>1266</v>
      </c>
      <c r="AC106" t="s">
        <v>1267</v>
      </c>
      <c r="AD106" t="s">
        <v>1268</v>
      </c>
      <c r="AE106" t="s">
        <v>1269</v>
      </c>
      <c r="AF106" t="s">
        <v>1270</v>
      </c>
    </row>
    <row r="107" spans="2:32" x14ac:dyDescent="0.25">
      <c r="B107">
        <v>395390</v>
      </c>
      <c r="C107" t="s">
        <v>1609</v>
      </c>
      <c r="D107" t="s">
        <v>1257</v>
      </c>
      <c r="E107" t="s">
        <v>1258</v>
      </c>
      <c r="F107" t="s">
        <v>1259</v>
      </c>
      <c r="G107">
        <v>712</v>
      </c>
      <c r="H107">
        <v>0</v>
      </c>
      <c r="I107">
        <v>20</v>
      </c>
      <c r="J107">
        <v>0</v>
      </c>
      <c r="K107">
        <v>0</v>
      </c>
      <c r="L107">
        <v>0</v>
      </c>
      <c r="M107">
        <v>4068446.8</v>
      </c>
      <c r="N107" s="4">
        <v>46267</v>
      </c>
      <c r="O107" t="s">
        <v>1648</v>
      </c>
      <c r="P107" t="s">
        <v>806</v>
      </c>
      <c r="S107" t="s">
        <v>1627</v>
      </c>
      <c r="T107" t="s">
        <v>1261</v>
      </c>
      <c r="U107" t="s">
        <v>1262</v>
      </c>
      <c r="V107">
        <v>350050</v>
      </c>
      <c r="W107" t="s">
        <v>1627</v>
      </c>
      <c r="X107" t="s">
        <v>1263</v>
      </c>
      <c r="Y107" t="s">
        <v>1649</v>
      </c>
      <c r="Z107" t="s">
        <v>1650</v>
      </c>
      <c r="AA107" s="5">
        <v>46267.684027777781</v>
      </c>
      <c r="AB107" t="s">
        <v>1266</v>
      </c>
      <c r="AC107" t="s">
        <v>1267</v>
      </c>
      <c r="AD107" t="s">
        <v>1268</v>
      </c>
      <c r="AE107" t="s">
        <v>1269</v>
      </c>
      <c r="AF107" t="s">
        <v>1270</v>
      </c>
    </row>
    <row r="108" spans="2:32" x14ac:dyDescent="0.25">
      <c r="B108">
        <v>395390</v>
      </c>
      <c r="C108" t="s">
        <v>1609</v>
      </c>
      <c r="D108" t="s">
        <v>1257</v>
      </c>
      <c r="E108" t="s">
        <v>1258</v>
      </c>
      <c r="F108" t="s">
        <v>1259</v>
      </c>
      <c r="G108">
        <v>3331</v>
      </c>
      <c r="H108">
        <v>0</v>
      </c>
      <c r="I108">
        <v>40</v>
      </c>
      <c r="J108">
        <v>0</v>
      </c>
      <c r="K108">
        <v>0</v>
      </c>
      <c r="L108">
        <v>0</v>
      </c>
      <c r="M108">
        <v>4064605.8</v>
      </c>
      <c r="N108" s="4">
        <v>46267</v>
      </c>
      <c r="O108" t="s">
        <v>1651</v>
      </c>
      <c r="P108" t="s">
        <v>817</v>
      </c>
      <c r="S108" t="s">
        <v>1614</v>
      </c>
      <c r="T108" t="s">
        <v>1261</v>
      </c>
      <c r="U108" t="s">
        <v>1262</v>
      </c>
      <c r="V108">
        <v>765244</v>
      </c>
      <c r="W108" t="s">
        <v>1614</v>
      </c>
      <c r="X108" t="s">
        <v>1263</v>
      </c>
      <c r="Y108" t="s">
        <v>1652</v>
      </c>
      <c r="Z108" t="s">
        <v>1653</v>
      </c>
      <c r="AA108" s="5">
        <v>46267.684027777781</v>
      </c>
      <c r="AB108" t="s">
        <v>1266</v>
      </c>
      <c r="AC108" t="s">
        <v>1267</v>
      </c>
      <c r="AD108" t="s">
        <v>1268</v>
      </c>
      <c r="AE108" t="s">
        <v>1269</v>
      </c>
      <c r="AF108" t="s">
        <v>1270</v>
      </c>
    </row>
    <row r="109" spans="2:32" x14ac:dyDescent="0.25">
      <c r="B109">
        <v>395390</v>
      </c>
      <c r="C109" t="s">
        <v>1609</v>
      </c>
      <c r="D109" t="s">
        <v>1257</v>
      </c>
      <c r="E109" t="s">
        <v>1258</v>
      </c>
      <c r="F109" t="s">
        <v>1259</v>
      </c>
      <c r="G109">
        <v>5976</v>
      </c>
      <c r="H109">
        <v>0</v>
      </c>
      <c r="I109">
        <v>57</v>
      </c>
      <c r="J109">
        <v>0</v>
      </c>
      <c r="K109">
        <v>0</v>
      </c>
      <c r="L109">
        <v>0</v>
      </c>
      <c r="M109">
        <v>4056518.8</v>
      </c>
      <c r="N109" s="4">
        <v>46267</v>
      </c>
      <c r="O109" t="s">
        <v>1654</v>
      </c>
      <c r="P109" t="s">
        <v>814</v>
      </c>
      <c r="S109" t="s">
        <v>1564</v>
      </c>
      <c r="T109" t="s">
        <v>1261</v>
      </c>
      <c r="U109" t="s">
        <v>1262</v>
      </c>
      <c r="V109">
        <v>852648</v>
      </c>
      <c r="W109" t="s">
        <v>1564</v>
      </c>
      <c r="X109" t="s">
        <v>1263</v>
      </c>
      <c r="Y109" t="s">
        <v>1655</v>
      </c>
      <c r="Z109" t="s">
        <v>1656</v>
      </c>
      <c r="AA109" s="5">
        <v>46267.684027777781</v>
      </c>
      <c r="AB109" t="s">
        <v>1266</v>
      </c>
      <c r="AC109" t="s">
        <v>1267</v>
      </c>
      <c r="AD109" t="s">
        <v>1268</v>
      </c>
      <c r="AE109" t="s">
        <v>1269</v>
      </c>
      <c r="AF109" t="s">
        <v>1270</v>
      </c>
    </row>
    <row r="110" spans="2:32" x14ac:dyDescent="0.25">
      <c r="B110">
        <v>395390</v>
      </c>
      <c r="C110" t="s">
        <v>1609</v>
      </c>
      <c r="D110" t="s">
        <v>1257</v>
      </c>
      <c r="E110" t="s">
        <v>1258</v>
      </c>
      <c r="F110" t="s">
        <v>1259</v>
      </c>
      <c r="G110">
        <v>2608</v>
      </c>
      <c r="H110">
        <v>0</v>
      </c>
      <c r="I110">
        <v>40</v>
      </c>
      <c r="J110">
        <v>0</v>
      </c>
      <c r="K110">
        <v>0</v>
      </c>
      <c r="L110">
        <v>0</v>
      </c>
      <c r="M110">
        <v>4053870.8</v>
      </c>
      <c r="N110" s="4">
        <v>46267</v>
      </c>
      <c r="O110" t="s">
        <v>1657</v>
      </c>
      <c r="P110" t="s">
        <v>810</v>
      </c>
      <c r="S110" t="s">
        <v>1564</v>
      </c>
      <c r="T110" t="s">
        <v>1261</v>
      </c>
      <c r="U110" t="s">
        <v>1262</v>
      </c>
      <c r="V110">
        <v>852648</v>
      </c>
      <c r="W110" t="s">
        <v>1564</v>
      </c>
      <c r="X110" t="s">
        <v>1263</v>
      </c>
      <c r="Y110" t="s">
        <v>1658</v>
      </c>
      <c r="Z110" t="s">
        <v>1659</v>
      </c>
      <c r="AA110" s="5">
        <v>46267.684027777781</v>
      </c>
      <c r="AB110" t="s">
        <v>1266</v>
      </c>
      <c r="AC110" t="s">
        <v>1267</v>
      </c>
      <c r="AD110" t="s">
        <v>1268</v>
      </c>
      <c r="AE110" t="s">
        <v>1269</v>
      </c>
      <c r="AF110" t="s">
        <v>1270</v>
      </c>
    </row>
    <row r="111" spans="2:32" x14ac:dyDescent="0.25">
      <c r="B111">
        <v>395390</v>
      </c>
      <c r="C111" t="s">
        <v>1609</v>
      </c>
      <c r="D111" t="s">
        <v>1257</v>
      </c>
      <c r="E111" t="s">
        <v>1258</v>
      </c>
      <c r="F111" t="s">
        <v>1259</v>
      </c>
      <c r="G111">
        <v>3567</v>
      </c>
      <c r="H111">
        <v>0</v>
      </c>
      <c r="I111">
        <v>49</v>
      </c>
      <c r="J111">
        <v>0</v>
      </c>
      <c r="K111">
        <v>0</v>
      </c>
      <c r="L111">
        <v>0</v>
      </c>
      <c r="M111">
        <v>4037172.8</v>
      </c>
      <c r="N111" s="4">
        <v>46267</v>
      </c>
      <c r="O111" t="s">
        <v>1660</v>
      </c>
      <c r="P111" t="s">
        <v>802</v>
      </c>
      <c r="S111" t="s">
        <v>1614</v>
      </c>
      <c r="T111" t="s">
        <v>1261</v>
      </c>
      <c r="U111" t="s">
        <v>1262</v>
      </c>
      <c r="V111">
        <v>765244</v>
      </c>
      <c r="W111" t="s">
        <v>1614</v>
      </c>
      <c r="X111" t="s">
        <v>1263</v>
      </c>
      <c r="Y111" t="s">
        <v>1661</v>
      </c>
      <c r="Z111" t="s">
        <v>1662</v>
      </c>
      <c r="AA111" s="5">
        <v>46267.684027777781</v>
      </c>
      <c r="AB111" t="s">
        <v>1266</v>
      </c>
      <c r="AC111" t="s">
        <v>1267</v>
      </c>
      <c r="AD111" t="s">
        <v>1268</v>
      </c>
      <c r="AE111" t="s">
        <v>1269</v>
      </c>
      <c r="AF111" t="s">
        <v>1270</v>
      </c>
    </row>
    <row r="112" spans="2:32" x14ac:dyDescent="0.25">
      <c r="B112">
        <v>395390</v>
      </c>
      <c r="C112" t="s">
        <v>1609</v>
      </c>
      <c r="D112" t="s">
        <v>1257</v>
      </c>
      <c r="E112" t="s">
        <v>1258</v>
      </c>
      <c r="F112" t="s">
        <v>1259</v>
      </c>
      <c r="G112">
        <v>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3993002.8</v>
      </c>
      <c r="N112" s="4">
        <v>46267</v>
      </c>
      <c r="O112" t="s">
        <v>1663</v>
      </c>
      <c r="P112" t="s">
        <v>798</v>
      </c>
      <c r="S112" t="s">
        <v>1614</v>
      </c>
      <c r="T112" t="s">
        <v>1261</v>
      </c>
      <c r="U112" t="s">
        <v>1262</v>
      </c>
      <c r="V112">
        <v>765244</v>
      </c>
      <c r="W112" t="s">
        <v>1614</v>
      </c>
      <c r="X112" t="s">
        <v>1263</v>
      </c>
      <c r="Y112" t="s">
        <v>1664</v>
      </c>
      <c r="Z112" t="s">
        <v>1665</v>
      </c>
      <c r="AA112" s="5">
        <v>46267.684027777781</v>
      </c>
      <c r="AB112" t="s">
        <v>1266</v>
      </c>
      <c r="AC112" t="s">
        <v>1267</v>
      </c>
      <c r="AD112" t="s">
        <v>1268</v>
      </c>
      <c r="AE112" t="s">
        <v>1269</v>
      </c>
      <c r="AF112" t="s">
        <v>1270</v>
      </c>
    </row>
    <row r="113" spans="2:32" x14ac:dyDescent="0.25">
      <c r="B113">
        <v>395390</v>
      </c>
      <c r="C113" t="s">
        <v>1609</v>
      </c>
      <c r="D113" t="s">
        <v>1257</v>
      </c>
      <c r="E113" t="s">
        <v>1258</v>
      </c>
      <c r="F113" t="s">
        <v>1259</v>
      </c>
      <c r="G113">
        <v>51194</v>
      </c>
      <c r="H113">
        <v>0</v>
      </c>
      <c r="I113">
        <v>136</v>
      </c>
      <c r="J113">
        <v>0</v>
      </c>
      <c r="K113">
        <v>0</v>
      </c>
      <c r="L113">
        <v>0</v>
      </c>
      <c r="M113">
        <v>3921846.8</v>
      </c>
      <c r="N113" s="4">
        <v>46267</v>
      </c>
      <c r="O113" t="s">
        <v>1666</v>
      </c>
      <c r="P113" t="s">
        <v>794</v>
      </c>
      <c r="S113" t="s">
        <v>1614</v>
      </c>
      <c r="T113" t="s">
        <v>1261</v>
      </c>
      <c r="U113" t="s">
        <v>1262</v>
      </c>
      <c r="V113">
        <v>765244</v>
      </c>
      <c r="W113" t="s">
        <v>1614</v>
      </c>
      <c r="X113" t="s">
        <v>1263</v>
      </c>
      <c r="Y113" t="s">
        <v>1667</v>
      </c>
      <c r="Z113" t="s">
        <v>1668</v>
      </c>
      <c r="AA113" s="5">
        <v>46267.684027777781</v>
      </c>
      <c r="AB113" t="s">
        <v>1266</v>
      </c>
      <c r="AC113" t="s">
        <v>1267</v>
      </c>
      <c r="AD113" t="s">
        <v>1268</v>
      </c>
      <c r="AE113" t="s">
        <v>1269</v>
      </c>
      <c r="AF113" t="s">
        <v>1270</v>
      </c>
    </row>
    <row r="114" spans="2:32" x14ac:dyDescent="0.25">
      <c r="B114">
        <v>395390</v>
      </c>
      <c r="C114" t="s">
        <v>1609</v>
      </c>
      <c r="D114" t="s">
        <v>1257</v>
      </c>
      <c r="E114" t="s">
        <v>1258</v>
      </c>
      <c r="F114" t="s">
        <v>1259</v>
      </c>
      <c r="G114">
        <v>5194</v>
      </c>
      <c r="H114">
        <v>0</v>
      </c>
      <c r="I114">
        <v>57</v>
      </c>
      <c r="J114">
        <v>0</v>
      </c>
      <c r="K114">
        <v>0</v>
      </c>
      <c r="L114">
        <v>0</v>
      </c>
      <c r="M114">
        <v>3815663.8</v>
      </c>
      <c r="N114" s="4">
        <v>46267</v>
      </c>
      <c r="O114" t="s">
        <v>1669</v>
      </c>
      <c r="P114" t="s">
        <v>789</v>
      </c>
      <c r="S114" t="s">
        <v>1564</v>
      </c>
      <c r="T114" t="s">
        <v>1261</v>
      </c>
      <c r="U114" t="s">
        <v>1262</v>
      </c>
      <c r="V114">
        <v>852648</v>
      </c>
      <c r="W114" t="s">
        <v>1564</v>
      </c>
      <c r="X114" t="s">
        <v>1263</v>
      </c>
      <c r="Y114" t="s">
        <v>1670</v>
      </c>
      <c r="Z114" t="s">
        <v>1671</v>
      </c>
      <c r="AA114" s="5">
        <v>46267.684027777781</v>
      </c>
      <c r="AB114" t="s">
        <v>1266</v>
      </c>
      <c r="AC114" t="s">
        <v>1267</v>
      </c>
      <c r="AD114" t="s">
        <v>1268</v>
      </c>
      <c r="AE114" t="s">
        <v>1269</v>
      </c>
      <c r="AF114" t="s">
        <v>1270</v>
      </c>
    </row>
    <row r="115" spans="2:32" x14ac:dyDescent="0.25">
      <c r="B115">
        <v>395390</v>
      </c>
      <c r="C115" t="s">
        <v>1609</v>
      </c>
      <c r="D115" t="s">
        <v>1257</v>
      </c>
      <c r="E115" t="s">
        <v>1258</v>
      </c>
      <c r="F115" t="s">
        <v>1259</v>
      </c>
      <c r="G115">
        <v>594</v>
      </c>
      <c r="H115">
        <v>0</v>
      </c>
      <c r="I115">
        <v>20</v>
      </c>
      <c r="J115">
        <v>0</v>
      </c>
      <c r="K115">
        <v>0</v>
      </c>
      <c r="L115">
        <v>0</v>
      </c>
      <c r="M115">
        <v>3796520.8</v>
      </c>
      <c r="N115" s="4">
        <v>46267</v>
      </c>
      <c r="O115" t="s">
        <v>1672</v>
      </c>
      <c r="P115" t="s">
        <v>786</v>
      </c>
      <c r="S115" t="s">
        <v>1564</v>
      </c>
      <c r="T115" t="s">
        <v>1261</v>
      </c>
      <c r="U115" t="s">
        <v>1262</v>
      </c>
      <c r="V115">
        <v>852648</v>
      </c>
      <c r="W115" t="s">
        <v>1564</v>
      </c>
      <c r="X115" t="s">
        <v>1263</v>
      </c>
      <c r="Y115" t="s">
        <v>1673</v>
      </c>
      <c r="Z115" t="s">
        <v>1674</v>
      </c>
      <c r="AA115" s="5">
        <v>46267.684027777781</v>
      </c>
      <c r="AB115" t="s">
        <v>1266</v>
      </c>
      <c r="AC115" t="s">
        <v>1267</v>
      </c>
      <c r="AD115" t="s">
        <v>1268</v>
      </c>
      <c r="AE115" t="s">
        <v>1269</v>
      </c>
      <c r="AF115" t="s">
        <v>1270</v>
      </c>
    </row>
    <row r="116" spans="2:32" x14ac:dyDescent="0.25">
      <c r="B116">
        <v>395390</v>
      </c>
      <c r="C116" t="s">
        <v>1609</v>
      </c>
      <c r="D116" t="s">
        <v>1257</v>
      </c>
      <c r="E116" t="s">
        <v>1258</v>
      </c>
      <c r="F116" t="s">
        <v>1259</v>
      </c>
      <c r="G116">
        <v>4120</v>
      </c>
      <c r="H116">
        <v>0</v>
      </c>
      <c r="I116">
        <v>49</v>
      </c>
      <c r="J116">
        <v>0</v>
      </c>
      <c r="K116">
        <v>0</v>
      </c>
      <c r="L116">
        <v>0</v>
      </c>
      <c r="M116">
        <v>3767871.8</v>
      </c>
      <c r="N116" s="4">
        <v>46267</v>
      </c>
      <c r="O116" t="s">
        <v>1675</v>
      </c>
      <c r="P116" t="s">
        <v>781</v>
      </c>
      <c r="S116" t="s">
        <v>1614</v>
      </c>
      <c r="T116" t="s">
        <v>1261</v>
      </c>
      <c r="U116" t="s">
        <v>1262</v>
      </c>
      <c r="V116">
        <v>765244</v>
      </c>
      <c r="W116" t="s">
        <v>1614</v>
      </c>
      <c r="X116" t="s">
        <v>1263</v>
      </c>
      <c r="Y116" t="s">
        <v>1676</v>
      </c>
      <c r="Z116" t="s">
        <v>1677</v>
      </c>
      <c r="AA116" s="5">
        <v>46267.684027777781</v>
      </c>
      <c r="AB116" t="s">
        <v>1266</v>
      </c>
      <c r="AC116" t="s">
        <v>1267</v>
      </c>
      <c r="AD116" t="s">
        <v>1268</v>
      </c>
      <c r="AE116" t="s">
        <v>1269</v>
      </c>
      <c r="AF116" t="s">
        <v>1270</v>
      </c>
    </row>
    <row r="117" spans="2:32" x14ac:dyDescent="0.25">
      <c r="B117">
        <v>395390</v>
      </c>
      <c r="C117" t="s">
        <v>1609</v>
      </c>
      <c r="D117" t="s">
        <v>1257</v>
      </c>
      <c r="E117" t="s">
        <v>1258</v>
      </c>
      <c r="F117" t="s">
        <v>1259</v>
      </c>
      <c r="G117">
        <v>226</v>
      </c>
      <c r="H117">
        <v>0</v>
      </c>
      <c r="I117">
        <v>10</v>
      </c>
      <c r="J117">
        <v>0</v>
      </c>
      <c r="K117">
        <v>0</v>
      </c>
      <c r="L117">
        <v>0</v>
      </c>
      <c r="M117">
        <v>3755744.8</v>
      </c>
      <c r="N117" s="4">
        <v>46267</v>
      </c>
      <c r="O117" t="s">
        <v>1678</v>
      </c>
      <c r="P117" t="s">
        <v>784</v>
      </c>
      <c r="S117" t="s">
        <v>1614</v>
      </c>
      <c r="T117" t="s">
        <v>1261</v>
      </c>
      <c r="U117" t="s">
        <v>1262</v>
      </c>
      <c r="V117">
        <v>765244</v>
      </c>
      <c r="W117" t="s">
        <v>1614</v>
      </c>
      <c r="X117" t="s">
        <v>1263</v>
      </c>
      <c r="Y117" t="s">
        <v>1679</v>
      </c>
      <c r="Z117" t="s">
        <v>1680</v>
      </c>
      <c r="AA117" s="5">
        <v>46267.684027777781</v>
      </c>
      <c r="AB117" t="s">
        <v>1266</v>
      </c>
      <c r="AC117" t="s">
        <v>1267</v>
      </c>
      <c r="AD117" t="s">
        <v>1268</v>
      </c>
      <c r="AE117" t="s">
        <v>1269</v>
      </c>
      <c r="AF117" t="s">
        <v>1270</v>
      </c>
    </row>
    <row r="118" spans="2:32" x14ac:dyDescent="0.25">
      <c r="B118">
        <v>395390</v>
      </c>
      <c r="C118" t="s">
        <v>1609</v>
      </c>
      <c r="D118" t="s">
        <v>1257</v>
      </c>
      <c r="E118" t="s">
        <v>1258</v>
      </c>
      <c r="F118" t="s">
        <v>1259</v>
      </c>
      <c r="G118">
        <v>134</v>
      </c>
      <c r="H118">
        <v>0</v>
      </c>
      <c r="I118">
        <v>10</v>
      </c>
      <c r="J118">
        <v>0</v>
      </c>
      <c r="K118">
        <v>0</v>
      </c>
      <c r="L118">
        <v>0</v>
      </c>
      <c r="M118">
        <v>3686728.8</v>
      </c>
      <c r="N118" s="4">
        <v>46267</v>
      </c>
      <c r="O118" t="s">
        <v>1681</v>
      </c>
      <c r="P118" t="s">
        <v>777</v>
      </c>
      <c r="S118" t="s">
        <v>1614</v>
      </c>
      <c r="T118" t="s">
        <v>1261</v>
      </c>
      <c r="U118" t="s">
        <v>1262</v>
      </c>
      <c r="V118">
        <v>765244</v>
      </c>
      <c r="W118" t="s">
        <v>1614</v>
      </c>
      <c r="X118" t="s">
        <v>1263</v>
      </c>
      <c r="Y118" t="s">
        <v>1682</v>
      </c>
      <c r="Z118" t="s">
        <v>1683</v>
      </c>
      <c r="AA118" s="5">
        <v>46267.684027777781</v>
      </c>
      <c r="AB118" t="s">
        <v>1266</v>
      </c>
      <c r="AC118" t="s">
        <v>1267</v>
      </c>
      <c r="AD118" t="s">
        <v>1268</v>
      </c>
      <c r="AE118" t="s">
        <v>1269</v>
      </c>
      <c r="AF118" t="s">
        <v>1270</v>
      </c>
    </row>
    <row r="119" spans="2:32" x14ac:dyDescent="0.25">
      <c r="B119">
        <v>395390</v>
      </c>
      <c r="C119" t="s">
        <v>1609</v>
      </c>
      <c r="D119" t="s">
        <v>1257</v>
      </c>
      <c r="E119" t="s">
        <v>1258</v>
      </c>
      <c r="F119" t="s">
        <v>1259</v>
      </c>
      <c r="G119">
        <v>755</v>
      </c>
      <c r="H119">
        <v>0</v>
      </c>
      <c r="I119">
        <v>20</v>
      </c>
      <c r="J119">
        <v>0</v>
      </c>
      <c r="K119">
        <v>0</v>
      </c>
      <c r="L119">
        <v>0</v>
      </c>
      <c r="M119">
        <v>3685513.8</v>
      </c>
      <c r="N119" s="4">
        <v>46267</v>
      </c>
      <c r="O119" t="s">
        <v>1684</v>
      </c>
      <c r="P119" t="s">
        <v>773</v>
      </c>
      <c r="S119" t="s">
        <v>1614</v>
      </c>
      <c r="T119" t="s">
        <v>1261</v>
      </c>
      <c r="U119" t="s">
        <v>1262</v>
      </c>
      <c r="V119">
        <v>765244</v>
      </c>
      <c r="W119" t="s">
        <v>1614</v>
      </c>
      <c r="X119" t="s">
        <v>1263</v>
      </c>
      <c r="Y119" t="s">
        <v>1685</v>
      </c>
      <c r="Z119" t="s">
        <v>1686</v>
      </c>
      <c r="AA119" s="5">
        <v>46267.684027777781</v>
      </c>
      <c r="AB119" t="s">
        <v>1266</v>
      </c>
      <c r="AC119" t="s">
        <v>1267</v>
      </c>
      <c r="AD119" t="s">
        <v>1268</v>
      </c>
      <c r="AE119" t="s">
        <v>1269</v>
      </c>
      <c r="AF119" t="s">
        <v>1270</v>
      </c>
    </row>
    <row r="120" spans="2:32" x14ac:dyDescent="0.25">
      <c r="B120">
        <v>395390</v>
      </c>
      <c r="C120" t="s">
        <v>1609</v>
      </c>
      <c r="D120" t="s">
        <v>1257</v>
      </c>
      <c r="E120" t="s">
        <v>1258</v>
      </c>
      <c r="F120" t="s">
        <v>1259</v>
      </c>
      <c r="G120">
        <v>5723</v>
      </c>
      <c r="H120">
        <v>0</v>
      </c>
      <c r="I120">
        <v>57</v>
      </c>
      <c r="J120">
        <v>0</v>
      </c>
      <c r="K120">
        <v>0</v>
      </c>
      <c r="L120">
        <v>0</v>
      </c>
      <c r="M120">
        <v>3679431.8</v>
      </c>
      <c r="N120" s="4">
        <v>46267</v>
      </c>
      <c r="O120" t="s">
        <v>1687</v>
      </c>
      <c r="P120" t="s">
        <v>769</v>
      </c>
      <c r="S120" t="s">
        <v>1614</v>
      </c>
      <c r="T120" t="s">
        <v>1261</v>
      </c>
      <c r="U120" t="s">
        <v>1262</v>
      </c>
      <c r="V120">
        <v>765244</v>
      </c>
      <c r="W120" t="s">
        <v>1614</v>
      </c>
      <c r="X120" t="s">
        <v>1263</v>
      </c>
      <c r="Y120" t="s">
        <v>1688</v>
      </c>
      <c r="Z120" t="s">
        <v>1689</v>
      </c>
      <c r="AA120" s="5">
        <v>46267.684027777781</v>
      </c>
      <c r="AB120" t="s">
        <v>1266</v>
      </c>
      <c r="AC120" t="s">
        <v>1267</v>
      </c>
      <c r="AD120" t="s">
        <v>1268</v>
      </c>
      <c r="AE120" t="s">
        <v>1269</v>
      </c>
      <c r="AF120" t="s">
        <v>1270</v>
      </c>
    </row>
    <row r="121" spans="2:32" x14ac:dyDescent="0.25">
      <c r="B121">
        <v>395390</v>
      </c>
      <c r="C121" t="s">
        <v>1609</v>
      </c>
      <c r="D121" t="s">
        <v>1257</v>
      </c>
      <c r="E121" t="s">
        <v>1258</v>
      </c>
      <c r="F121" t="s">
        <v>1259</v>
      </c>
      <c r="G121">
        <v>1560</v>
      </c>
      <c r="H121">
        <v>0</v>
      </c>
      <c r="I121">
        <v>35</v>
      </c>
      <c r="J121">
        <v>0</v>
      </c>
      <c r="K121">
        <v>0</v>
      </c>
      <c r="L121">
        <v>0</v>
      </c>
      <c r="M121">
        <v>3676650.8</v>
      </c>
      <c r="N121" s="4">
        <v>46267</v>
      </c>
      <c r="O121" t="s">
        <v>1690</v>
      </c>
      <c r="P121" t="s">
        <v>766</v>
      </c>
      <c r="S121" t="s">
        <v>1564</v>
      </c>
      <c r="T121" t="s">
        <v>1261</v>
      </c>
      <c r="U121" t="s">
        <v>1262</v>
      </c>
      <c r="V121">
        <v>852648</v>
      </c>
      <c r="W121" t="s">
        <v>1564</v>
      </c>
      <c r="X121" t="s">
        <v>1263</v>
      </c>
      <c r="Y121" t="s">
        <v>1691</v>
      </c>
      <c r="Z121" t="s">
        <v>1692</v>
      </c>
      <c r="AA121" s="5">
        <v>46267.684027777781</v>
      </c>
      <c r="AB121" t="s">
        <v>1266</v>
      </c>
      <c r="AC121" t="s">
        <v>1267</v>
      </c>
      <c r="AD121" t="s">
        <v>1268</v>
      </c>
      <c r="AE121" t="s">
        <v>1269</v>
      </c>
      <c r="AF121" t="s">
        <v>1270</v>
      </c>
    </row>
    <row r="122" spans="2:32" x14ac:dyDescent="0.25">
      <c r="B122">
        <v>395390</v>
      </c>
      <c r="C122" t="s">
        <v>1609</v>
      </c>
      <c r="D122" t="s">
        <v>1257</v>
      </c>
      <c r="E122" t="s">
        <v>1258</v>
      </c>
      <c r="F122" t="s">
        <v>1259</v>
      </c>
      <c r="G122">
        <v>134</v>
      </c>
      <c r="H122">
        <v>0</v>
      </c>
      <c r="I122">
        <v>10</v>
      </c>
      <c r="J122">
        <v>0</v>
      </c>
      <c r="K122">
        <v>0</v>
      </c>
      <c r="L122">
        <v>0</v>
      </c>
      <c r="M122">
        <v>3674450.8</v>
      </c>
      <c r="N122" s="4">
        <v>46267</v>
      </c>
      <c r="O122" t="s">
        <v>1693</v>
      </c>
      <c r="P122" t="s">
        <v>776</v>
      </c>
      <c r="S122" t="s">
        <v>1614</v>
      </c>
      <c r="T122" t="s">
        <v>1261</v>
      </c>
      <c r="U122" t="s">
        <v>1262</v>
      </c>
      <c r="V122">
        <v>765244</v>
      </c>
      <c r="W122" t="s">
        <v>1614</v>
      </c>
      <c r="X122" t="s">
        <v>1263</v>
      </c>
      <c r="Y122" t="s">
        <v>1694</v>
      </c>
      <c r="Z122" t="s">
        <v>1695</v>
      </c>
      <c r="AA122" s="5">
        <v>46267.684027777781</v>
      </c>
      <c r="AB122" t="s">
        <v>1266</v>
      </c>
      <c r="AC122" t="s">
        <v>1267</v>
      </c>
      <c r="AD122" t="s">
        <v>1268</v>
      </c>
      <c r="AE122" t="s">
        <v>1269</v>
      </c>
      <c r="AF122" t="s">
        <v>1270</v>
      </c>
    </row>
    <row r="123" spans="2:32" x14ac:dyDescent="0.25">
      <c r="B123">
        <v>395390</v>
      </c>
      <c r="C123" t="s">
        <v>1609</v>
      </c>
      <c r="D123" t="s">
        <v>1257</v>
      </c>
      <c r="E123" t="s">
        <v>1258</v>
      </c>
      <c r="F123" t="s">
        <v>1259</v>
      </c>
      <c r="G123">
        <v>58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3674366.8</v>
      </c>
      <c r="N123" s="4">
        <v>46267</v>
      </c>
      <c r="O123" t="s">
        <v>1696</v>
      </c>
      <c r="P123" t="s">
        <v>764</v>
      </c>
      <c r="S123" t="s">
        <v>1614</v>
      </c>
      <c r="T123" t="s">
        <v>1261</v>
      </c>
      <c r="U123" t="s">
        <v>1262</v>
      </c>
      <c r="V123">
        <v>765244</v>
      </c>
      <c r="W123" t="s">
        <v>1614</v>
      </c>
      <c r="X123" t="s">
        <v>1263</v>
      </c>
      <c r="Y123" t="s">
        <v>1697</v>
      </c>
      <c r="Z123" t="s">
        <v>1698</v>
      </c>
      <c r="AA123" s="5">
        <v>46267.684027777781</v>
      </c>
      <c r="AB123" t="s">
        <v>1266</v>
      </c>
      <c r="AC123" t="s">
        <v>1267</v>
      </c>
      <c r="AD123" t="s">
        <v>1268</v>
      </c>
      <c r="AE123" t="s">
        <v>1269</v>
      </c>
      <c r="AF123" t="s">
        <v>1270</v>
      </c>
    </row>
    <row r="124" spans="2:32" x14ac:dyDescent="0.25">
      <c r="B124">
        <v>395390</v>
      </c>
      <c r="C124" t="s">
        <v>1609</v>
      </c>
      <c r="D124" t="s">
        <v>1257</v>
      </c>
      <c r="E124" t="s">
        <v>1258</v>
      </c>
      <c r="F124" t="s">
        <v>1259</v>
      </c>
      <c r="G124">
        <v>1399</v>
      </c>
      <c r="H124">
        <v>0</v>
      </c>
      <c r="I124">
        <v>25</v>
      </c>
      <c r="J124">
        <v>0</v>
      </c>
      <c r="K124">
        <v>0</v>
      </c>
      <c r="L124">
        <v>0</v>
      </c>
      <c r="M124">
        <v>3672942.8</v>
      </c>
      <c r="N124" s="4">
        <v>46267</v>
      </c>
      <c r="O124" t="s">
        <v>1699</v>
      </c>
      <c r="P124" t="s">
        <v>774</v>
      </c>
      <c r="S124" t="s">
        <v>1614</v>
      </c>
      <c r="T124" t="s">
        <v>1261</v>
      </c>
      <c r="U124" t="s">
        <v>1262</v>
      </c>
      <c r="V124">
        <v>765244</v>
      </c>
      <c r="W124" t="s">
        <v>1614</v>
      </c>
      <c r="X124" t="s">
        <v>1263</v>
      </c>
      <c r="Y124" t="s">
        <v>1700</v>
      </c>
      <c r="Z124" t="s">
        <v>1701</v>
      </c>
      <c r="AA124" s="5">
        <v>46267.684027777781</v>
      </c>
      <c r="AB124" t="s">
        <v>1266</v>
      </c>
      <c r="AC124" t="s">
        <v>1267</v>
      </c>
      <c r="AD124" t="s">
        <v>1268</v>
      </c>
      <c r="AE124" t="s">
        <v>1269</v>
      </c>
      <c r="AF124" t="s">
        <v>1270</v>
      </c>
    </row>
    <row r="125" spans="2:32" x14ac:dyDescent="0.25">
      <c r="B125">
        <v>395390</v>
      </c>
      <c r="C125" t="s">
        <v>1609</v>
      </c>
      <c r="D125" t="s">
        <v>1257</v>
      </c>
      <c r="E125" t="s">
        <v>1258</v>
      </c>
      <c r="F125" t="s">
        <v>1259</v>
      </c>
      <c r="G125">
        <v>272</v>
      </c>
      <c r="H125">
        <v>0</v>
      </c>
      <c r="I125">
        <v>10</v>
      </c>
      <c r="J125">
        <v>0</v>
      </c>
      <c r="K125">
        <v>0</v>
      </c>
      <c r="L125">
        <v>0</v>
      </c>
      <c r="M125">
        <v>3671380.8</v>
      </c>
      <c r="N125" s="4">
        <v>46267</v>
      </c>
      <c r="O125" t="s">
        <v>1702</v>
      </c>
      <c r="P125" t="s">
        <v>760</v>
      </c>
      <c r="S125" t="s">
        <v>1627</v>
      </c>
      <c r="T125" t="s">
        <v>1261</v>
      </c>
      <c r="U125" t="s">
        <v>1262</v>
      </c>
      <c r="V125">
        <v>350050</v>
      </c>
      <c r="W125" t="s">
        <v>1627</v>
      </c>
      <c r="X125" t="s">
        <v>1263</v>
      </c>
      <c r="Y125" t="s">
        <v>1703</v>
      </c>
      <c r="Z125" t="s">
        <v>1704</v>
      </c>
      <c r="AA125" s="5">
        <v>46267.684027777781</v>
      </c>
      <c r="AB125" t="s">
        <v>1266</v>
      </c>
      <c r="AC125" t="s">
        <v>1267</v>
      </c>
      <c r="AD125" t="s">
        <v>1268</v>
      </c>
      <c r="AE125" t="s">
        <v>1269</v>
      </c>
      <c r="AF125" t="s">
        <v>1270</v>
      </c>
    </row>
    <row r="126" spans="2:32" x14ac:dyDescent="0.25">
      <c r="B126">
        <v>395390</v>
      </c>
      <c r="C126" t="s">
        <v>1609</v>
      </c>
      <c r="D126" t="s">
        <v>1257</v>
      </c>
      <c r="E126" t="s">
        <v>1258</v>
      </c>
      <c r="F126" t="s">
        <v>1259</v>
      </c>
      <c r="G126">
        <v>65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3655835.8</v>
      </c>
      <c r="N126" s="4">
        <v>46267</v>
      </c>
      <c r="O126" t="s">
        <v>1705</v>
      </c>
      <c r="P126" t="s">
        <v>763</v>
      </c>
      <c r="S126" t="s">
        <v>1614</v>
      </c>
      <c r="T126" t="s">
        <v>1261</v>
      </c>
      <c r="U126" t="s">
        <v>1262</v>
      </c>
      <c r="V126">
        <v>765244</v>
      </c>
      <c r="W126" t="s">
        <v>1614</v>
      </c>
      <c r="X126" t="s">
        <v>1263</v>
      </c>
      <c r="Y126" t="s">
        <v>1706</v>
      </c>
      <c r="Z126" t="s">
        <v>1707</v>
      </c>
      <c r="AA126" s="5">
        <v>46267.684027777781</v>
      </c>
      <c r="AB126" t="s">
        <v>1266</v>
      </c>
      <c r="AC126" t="s">
        <v>1267</v>
      </c>
      <c r="AD126" t="s">
        <v>1268</v>
      </c>
      <c r="AE126" t="s">
        <v>1269</v>
      </c>
      <c r="AF126" t="s">
        <v>1270</v>
      </c>
    </row>
    <row r="127" spans="2:32" x14ac:dyDescent="0.25">
      <c r="B127">
        <v>395390</v>
      </c>
      <c r="C127" t="s">
        <v>1609</v>
      </c>
      <c r="D127" t="s">
        <v>1257</v>
      </c>
      <c r="E127" t="s">
        <v>1258</v>
      </c>
      <c r="F127" t="s">
        <v>1259</v>
      </c>
      <c r="G127">
        <v>410</v>
      </c>
      <c r="H127">
        <v>0</v>
      </c>
      <c r="I127">
        <v>10</v>
      </c>
      <c r="J127">
        <v>0</v>
      </c>
      <c r="K127">
        <v>0</v>
      </c>
      <c r="L127">
        <v>0</v>
      </c>
      <c r="M127">
        <v>3653014.8</v>
      </c>
      <c r="N127" s="4">
        <v>46267</v>
      </c>
      <c r="O127" t="s">
        <v>1708</v>
      </c>
      <c r="P127" t="s">
        <v>757</v>
      </c>
      <c r="S127" t="s">
        <v>1564</v>
      </c>
      <c r="T127" t="s">
        <v>1261</v>
      </c>
      <c r="U127" t="s">
        <v>1262</v>
      </c>
      <c r="V127">
        <v>852648</v>
      </c>
      <c r="W127" t="s">
        <v>1564</v>
      </c>
      <c r="X127" t="s">
        <v>1263</v>
      </c>
      <c r="Y127" t="s">
        <v>1709</v>
      </c>
      <c r="Z127" t="s">
        <v>1710</v>
      </c>
      <c r="AA127" s="5">
        <v>46267.68472222222</v>
      </c>
      <c r="AB127" t="s">
        <v>1266</v>
      </c>
      <c r="AC127" t="s">
        <v>1267</v>
      </c>
      <c r="AD127" t="s">
        <v>1268</v>
      </c>
      <c r="AE127" t="s">
        <v>1269</v>
      </c>
      <c r="AF127" t="s">
        <v>1270</v>
      </c>
    </row>
    <row r="128" spans="2:32" x14ac:dyDescent="0.25">
      <c r="B128">
        <v>1440382</v>
      </c>
      <c r="C128" t="s">
        <v>1711</v>
      </c>
      <c r="D128" t="s">
        <v>1286</v>
      </c>
      <c r="F128" t="s">
        <v>1259</v>
      </c>
      <c r="G128">
        <v>140</v>
      </c>
      <c r="H128">
        <v>0</v>
      </c>
      <c r="I128">
        <v>10</v>
      </c>
      <c r="J128">
        <v>2</v>
      </c>
      <c r="K128">
        <v>0</v>
      </c>
      <c r="L128">
        <v>0</v>
      </c>
      <c r="M128">
        <v>1674</v>
      </c>
      <c r="N128" s="4">
        <v>46267</v>
      </c>
      <c r="O128" t="s">
        <v>1712</v>
      </c>
      <c r="P128" t="s">
        <v>752</v>
      </c>
      <c r="S128" t="s">
        <v>1399</v>
      </c>
      <c r="T128" t="s">
        <v>1261</v>
      </c>
      <c r="U128" t="s">
        <v>1262</v>
      </c>
      <c r="V128">
        <v>1440382</v>
      </c>
      <c r="W128" t="s">
        <v>1399</v>
      </c>
      <c r="X128" t="s">
        <v>1263</v>
      </c>
      <c r="Y128" t="s">
        <v>1713</v>
      </c>
      <c r="Z128" t="s">
        <v>1714</v>
      </c>
      <c r="AA128" s="5">
        <v>46267.685416666667</v>
      </c>
      <c r="AB128" t="s">
        <v>1266</v>
      </c>
      <c r="AD128" t="s">
        <v>1268</v>
      </c>
      <c r="AE128" t="s">
        <v>1269</v>
      </c>
      <c r="AF128" t="s">
        <v>1270</v>
      </c>
    </row>
    <row r="129" spans="2:32" x14ac:dyDescent="0.25">
      <c r="B129">
        <v>1331783</v>
      </c>
      <c r="C129" t="s">
        <v>1715</v>
      </c>
      <c r="D129" t="s">
        <v>1257</v>
      </c>
      <c r="E129" t="s">
        <v>1258</v>
      </c>
      <c r="F129" t="s">
        <v>1259</v>
      </c>
      <c r="G129">
        <v>10105</v>
      </c>
      <c r="H129">
        <v>0</v>
      </c>
      <c r="I129">
        <v>15</v>
      </c>
      <c r="J129">
        <v>0</v>
      </c>
      <c r="K129">
        <v>1</v>
      </c>
      <c r="L129">
        <v>0</v>
      </c>
      <c r="M129">
        <v>168066.97</v>
      </c>
      <c r="N129" s="4">
        <v>46267</v>
      </c>
      <c r="O129" t="s">
        <v>1716</v>
      </c>
      <c r="P129" t="s">
        <v>748</v>
      </c>
      <c r="T129" t="s">
        <v>1261</v>
      </c>
      <c r="U129" t="s">
        <v>1262</v>
      </c>
      <c r="V129">
        <v>9703073</v>
      </c>
      <c r="X129" t="s">
        <v>1263</v>
      </c>
      <c r="Y129" t="s">
        <v>1717</v>
      </c>
      <c r="Z129">
        <v>9703073</v>
      </c>
      <c r="AA129" s="5">
        <v>46267.686805555553</v>
      </c>
      <c r="AB129" t="s">
        <v>1266</v>
      </c>
      <c r="AD129" t="s">
        <v>1268</v>
      </c>
      <c r="AE129" t="s">
        <v>1269</v>
      </c>
      <c r="AF129" t="s">
        <v>1270</v>
      </c>
    </row>
    <row r="130" spans="2:32" x14ac:dyDescent="0.25">
      <c r="B130">
        <v>276585</v>
      </c>
      <c r="C130" t="s">
        <v>1362</v>
      </c>
      <c r="D130" t="s">
        <v>1257</v>
      </c>
      <c r="E130" t="s">
        <v>1258</v>
      </c>
      <c r="F130" t="s">
        <v>1259</v>
      </c>
      <c r="G130">
        <v>2750</v>
      </c>
      <c r="H130">
        <v>0</v>
      </c>
      <c r="I130">
        <v>40</v>
      </c>
      <c r="J130">
        <v>0</v>
      </c>
      <c r="K130">
        <v>1</v>
      </c>
      <c r="L130">
        <v>0</v>
      </c>
      <c r="M130">
        <v>2292.36</v>
      </c>
      <c r="N130" s="4">
        <v>46267</v>
      </c>
      <c r="O130" t="s">
        <v>1718</v>
      </c>
      <c r="P130" t="s">
        <v>744</v>
      </c>
      <c r="S130" t="s">
        <v>1719</v>
      </c>
      <c r="T130" t="s">
        <v>1261</v>
      </c>
      <c r="U130" t="s">
        <v>1262</v>
      </c>
      <c r="V130">
        <v>542542</v>
      </c>
      <c r="W130" t="s">
        <v>1719</v>
      </c>
      <c r="X130" t="s">
        <v>1263</v>
      </c>
      <c r="Y130" t="s">
        <v>1720</v>
      </c>
      <c r="Z130">
        <v>671288</v>
      </c>
      <c r="AA130" s="5">
        <v>46267.69027777778</v>
      </c>
      <c r="AB130" t="s">
        <v>1266</v>
      </c>
      <c r="AD130" t="s">
        <v>1268</v>
      </c>
      <c r="AE130" t="s">
        <v>1269</v>
      </c>
      <c r="AF130" t="s">
        <v>1270</v>
      </c>
    </row>
    <row r="131" spans="2:32" x14ac:dyDescent="0.25">
      <c r="B131">
        <v>1331783</v>
      </c>
      <c r="C131" t="s">
        <v>1715</v>
      </c>
      <c r="D131" t="s">
        <v>1257</v>
      </c>
      <c r="E131" t="s">
        <v>1258</v>
      </c>
      <c r="F131" t="s">
        <v>1259</v>
      </c>
      <c r="G131">
        <v>20300</v>
      </c>
      <c r="H131">
        <v>0</v>
      </c>
      <c r="I131">
        <v>87</v>
      </c>
      <c r="J131">
        <v>0</v>
      </c>
      <c r="K131">
        <v>1</v>
      </c>
      <c r="L131">
        <v>0</v>
      </c>
      <c r="M131">
        <v>147678.97</v>
      </c>
      <c r="N131" s="4">
        <v>46267</v>
      </c>
      <c r="O131" t="s">
        <v>1721</v>
      </c>
      <c r="P131" t="s">
        <v>738</v>
      </c>
      <c r="S131" t="s">
        <v>1722</v>
      </c>
      <c r="T131" t="s">
        <v>1261</v>
      </c>
      <c r="U131" t="s">
        <v>1262</v>
      </c>
      <c r="V131">
        <v>982800</v>
      </c>
      <c r="W131" t="s">
        <v>1722</v>
      </c>
      <c r="X131" t="s">
        <v>1263</v>
      </c>
      <c r="Y131" t="s">
        <v>1723</v>
      </c>
      <c r="Z131">
        <v>3000222007</v>
      </c>
      <c r="AA131" s="5">
        <v>46267.69027777778</v>
      </c>
      <c r="AB131" t="s">
        <v>1266</v>
      </c>
      <c r="AD131" t="s">
        <v>1268</v>
      </c>
      <c r="AE131" t="s">
        <v>1269</v>
      </c>
      <c r="AF131" t="s">
        <v>1270</v>
      </c>
    </row>
    <row r="132" spans="2:32" x14ac:dyDescent="0.25">
      <c r="B132">
        <v>395390</v>
      </c>
      <c r="C132" t="s">
        <v>1609</v>
      </c>
      <c r="D132" t="s">
        <v>1257</v>
      </c>
      <c r="E132" t="s">
        <v>1258</v>
      </c>
      <c r="F132" t="s">
        <v>1259</v>
      </c>
      <c r="G132">
        <v>4815</v>
      </c>
      <c r="H132">
        <v>0</v>
      </c>
      <c r="I132">
        <v>49</v>
      </c>
      <c r="J132">
        <v>0</v>
      </c>
      <c r="K132">
        <v>0</v>
      </c>
      <c r="L132">
        <v>0</v>
      </c>
      <c r="M132">
        <v>3647963.8</v>
      </c>
      <c r="N132" s="4">
        <v>46267</v>
      </c>
      <c r="O132" t="s">
        <v>1724</v>
      </c>
      <c r="P132" t="s">
        <v>735</v>
      </c>
      <c r="S132" t="s">
        <v>1614</v>
      </c>
      <c r="T132" t="s">
        <v>1261</v>
      </c>
      <c r="U132" t="s">
        <v>1262</v>
      </c>
      <c r="V132">
        <v>765244</v>
      </c>
      <c r="W132" t="s">
        <v>1614</v>
      </c>
      <c r="X132" t="s">
        <v>1263</v>
      </c>
      <c r="Y132" t="s">
        <v>1725</v>
      </c>
      <c r="Z132" t="s">
        <v>1726</v>
      </c>
      <c r="AA132" s="5">
        <v>46267.692361111112</v>
      </c>
      <c r="AB132" t="s">
        <v>1266</v>
      </c>
      <c r="AC132" t="s">
        <v>1267</v>
      </c>
      <c r="AD132" t="s">
        <v>1268</v>
      </c>
      <c r="AE132" t="s">
        <v>1269</v>
      </c>
      <c r="AF132" t="s">
        <v>1270</v>
      </c>
    </row>
    <row r="133" spans="2:32" x14ac:dyDescent="0.25">
      <c r="B133">
        <v>395390</v>
      </c>
      <c r="C133" t="s">
        <v>1609</v>
      </c>
      <c r="D133" t="s">
        <v>1257</v>
      </c>
      <c r="E133" t="s">
        <v>1258</v>
      </c>
      <c r="F133" t="s">
        <v>1259</v>
      </c>
      <c r="G133">
        <v>1289</v>
      </c>
      <c r="H133">
        <v>0</v>
      </c>
      <c r="I133">
        <v>25</v>
      </c>
      <c r="J133">
        <v>0</v>
      </c>
      <c r="K133">
        <v>0</v>
      </c>
      <c r="L133">
        <v>0</v>
      </c>
      <c r="M133">
        <v>3646649.8</v>
      </c>
      <c r="N133" s="4">
        <v>46267</v>
      </c>
      <c r="O133" t="s">
        <v>1727</v>
      </c>
      <c r="P133" t="s">
        <v>731</v>
      </c>
      <c r="S133" t="s">
        <v>1614</v>
      </c>
      <c r="T133" t="s">
        <v>1261</v>
      </c>
      <c r="U133" t="s">
        <v>1262</v>
      </c>
      <c r="V133">
        <v>765244</v>
      </c>
      <c r="W133" t="s">
        <v>1614</v>
      </c>
      <c r="X133" t="s">
        <v>1263</v>
      </c>
      <c r="Y133" t="s">
        <v>1728</v>
      </c>
      <c r="Z133" t="s">
        <v>1729</v>
      </c>
      <c r="AA133" s="5">
        <v>46267.692361111112</v>
      </c>
      <c r="AB133" t="s">
        <v>1266</v>
      </c>
      <c r="AC133" t="s">
        <v>1267</v>
      </c>
      <c r="AD133" t="s">
        <v>1268</v>
      </c>
      <c r="AE133" t="s">
        <v>1269</v>
      </c>
      <c r="AF133" t="s">
        <v>1270</v>
      </c>
    </row>
    <row r="134" spans="2:32" x14ac:dyDescent="0.25">
      <c r="B134">
        <v>395390</v>
      </c>
      <c r="C134" t="s">
        <v>1609</v>
      </c>
      <c r="D134" t="s">
        <v>1257</v>
      </c>
      <c r="E134" t="s">
        <v>1258</v>
      </c>
      <c r="F134" t="s">
        <v>1259</v>
      </c>
      <c r="G134">
        <v>5286</v>
      </c>
      <c r="H134">
        <v>0</v>
      </c>
      <c r="I134">
        <v>57</v>
      </c>
      <c r="J134">
        <v>0</v>
      </c>
      <c r="K134">
        <v>0</v>
      </c>
      <c r="L134">
        <v>0</v>
      </c>
      <c r="M134">
        <v>3627558.8</v>
      </c>
      <c r="N134" s="4">
        <v>46267</v>
      </c>
      <c r="O134" t="s">
        <v>1730</v>
      </c>
      <c r="P134" t="s">
        <v>727</v>
      </c>
      <c r="S134" t="s">
        <v>1614</v>
      </c>
      <c r="T134" t="s">
        <v>1261</v>
      </c>
      <c r="U134" t="s">
        <v>1262</v>
      </c>
      <c r="V134">
        <v>765244</v>
      </c>
      <c r="W134" t="s">
        <v>1614</v>
      </c>
      <c r="X134" t="s">
        <v>1263</v>
      </c>
      <c r="Y134" t="s">
        <v>1731</v>
      </c>
      <c r="Z134" t="s">
        <v>1732</v>
      </c>
      <c r="AA134" s="5">
        <v>46267.692361111112</v>
      </c>
      <c r="AB134" t="s">
        <v>1266</v>
      </c>
      <c r="AC134" t="s">
        <v>1267</v>
      </c>
      <c r="AD134" t="s">
        <v>1268</v>
      </c>
      <c r="AE134" t="s">
        <v>1269</v>
      </c>
      <c r="AF134" t="s">
        <v>1270</v>
      </c>
    </row>
    <row r="135" spans="2:32" x14ac:dyDescent="0.25">
      <c r="B135">
        <v>395390</v>
      </c>
      <c r="C135" t="s">
        <v>1609</v>
      </c>
      <c r="D135" t="s">
        <v>1257</v>
      </c>
      <c r="E135" t="s">
        <v>1258</v>
      </c>
      <c r="F135" t="s">
        <v>1259</v>
      </c>
      <c r="G135">
        <v>4281</v>
      </c>
      <c r="H135">
        <v>0</v>
      </c>
      <c r="I135">
        <v>49</v>
      </c>
      <c r="J135">
        <v>0</v>
      </c>
      <c r="K135">
        <v>0</v>
      </c>
      <c r="L135">
        <v>0</v>
      </c>
      <c r="M135">
        <v>3618733.8</v>
      </c>
      <c r="N135" s="4">
        <v>46267</v>
      </c>
      <c r="O135" t="s">
        <v>1733</v>
      </c>
      <c r="P135" t="s">
        <v>723</v>
      </c>
      <c r="S135" t="s">
        <v>1614</v>
      </c>
      <c r="T135" t="s">
        <v>1261</v>
      </c>
      <c r="U135" t="s">
        <v>1262</v>
      </c>
      <c r="V135">
        <v>765244</v>
      </c>
      <c r="W135" t="s">
        <v>1614</v>
      </c>
      <c r="X135" t="s">
        <v>1263</v>
      </c>
      <c r="Y135" t="s">
        <v>1734</v>
      </c>
      <c r="Z135" t="s">
        <v>1735</v>
      </c>
      <c r="AA135" s="5">
        <v>46267.692361111112</v>
      </c>
      <c r="AB135" t="s">
        <v>1266</v>
      </c>
      <c r="AC135" t="s">
        <v>1267</v>
      </c>
      <c r="AD135" t="s">
        <v>1268</v>
      </c>
      <c r="AE135" t="s">
        <v>1269</v>
      </c>
      <c r="AF135" t="s">
        <v>1270</v>
      </c>
    </row>
    <row r="136" spans="2:32" x14ac:dyDescent="0.25">
      <c r="B136">
        <v>395390</v>
      </c>
      <c r="C136" t="s">
        <v>1609</v>
      </c>
      <c r="D136" t="s">
        <v>1257</v>
      </c>
      <c r="E136" t="s">
        <v>1258</v>
      </c>
      <c r="F136" t="s">
        <v>1259</v>
      </c>
      <c r="G136">
        <v>5056</v>
      </c>
      <c r="H136">
        <v>0</v>
      </c>
      <c r="I136">
        <v>57</v>
      </c>
      <c r="J136">
        <v>0</v>
      </c>
      <c r="K136">
        <v>0</v>
      </c>
      <c r="L136">
        <v>0</v>
      </c>
      <c r="M136">
        <v>3613620.8</v>
      </c>
      <c r="N136" s="4">
        <v>46267</v>
      </c>
      <c r="O136" t="s">
        <v>1736</v>
      </c>
      <c r="P136" t="s">
        <v>720</v>
      </c>
      <c r="S136" t="s">
        <v>1627</v>
      </c>
      <c r="T136" t="s">
        <v>1261</v>
      </c>
      <c r="U136" t="s">
        <v>1262</v>
      </c>
      <c r="V136">
        <v>350050</v>
      </c>
      <c r="W136" t="s">
        <v>1627</v>
      </c>
      <c r="X136" t="s">
        <v>1263</v>
      </c>
      <c r="Y136" t="s">
        <v>1737</v>
      </c>
      <c r="Z136" t="s">
        <v>1738</v>
      </c>
      <c r="AA136" s="5">
        <v>46267.692361111112</v>
      </c>
      <c r="AB136" t="s">
        <v>1266</v>
      </c>
      <c r="AC136" t="s">
        <v>1267</v>
      </c>
      <c r="AD136" t="s">
        <v>1268</v>
      </c>
      <c r="AE136" t="s">
        <v>1269</v>
      </c>
      <c r="AF136" t="s">
        <v>1270</v>
      </c>
    </row>
    <row r="137" spans="2:32" x14ac:dyDescent="0.25">
      <c r="B137">
        <v>395390</v>
      </c>
      <c r="C137" t="s">
        <v>1609</v>
      </c>
      <c r="D137" t="s">
        <v>1257</v>
      </c>
      <c r="E137" t="s">
        <v>1258</v>
      </c>
      <c r="F137" t="s">
        <v>1259</v>
      </c>
      <c r="G137">
        <v>9784</v>
      </c>
      <c r="H137">
        <v>0</v>
      </c>
      <c r="I137">
        <v>63</v>
      </c>
      <c r="J137">
        <v>0</v>
      </c>
      <c r="K137">
        <v>0</v>
      </c>
      <c r="L137">
        <v>0</v>
      </c>
      <c r="M137">
        <v>3587588.8</v>
      </c>
      <c r="N137" s="4">
        <v>46267</v>
      </c>
      <c r="O137" t="s">
        <v>1739</v>
      </c>
      <c r="P137" t="s">
        <v>713</v>
      </c>
      <c r="S137" t="s">
        <v>1627</v>
      </c>
      <c r="T137" t="s">
        <v>1261</v>
      </c>
      <c r="U137" t="s">
        <v>1262</v>
      </c>
      <c r="V137">
        <v>350050</v>
      </c>
      <c r="W137" t="s">
        <v>1627</v>
      </c>
      <c r="X137" t="s">
        <v>1263</v>
      </c>
      <c r="Y137" t="s">
        <v>1740</v>
      </c>
      <c r="Z137" t="s">
        <v>1741</v>
      </c>
      <c r="AA137" s="5">
        <v>46267.692361111112</v>
      </c>
      <c r="AB137" t="s">
        <v>1266</v>
      </c>
      <c r="AC137" t="s">
        <v>1267</v>
      </c>
      <c r="AD137" t="s">
        <v>1268</v>
      </c>
      <c r="AE137" t="s">
        <v>1269</v>
      </c>
      <c r="AF137" t="s">
        <v>1270</v>
      </c>
    </row>
    <row r="138" spans="2:32" x14ac:dyDescent="0.25">
      <c r="B138">
        <v>395390</v>
      </c>
      <c r="C138" t="s">
        <v>1609</v>
      </c>
      <c r="D138" t="s">
        <v>1257</v>
      </c>
      <c r="E138" t="s">
        <v>1258</v>
      </c>
      <c r="F138" t="s">
        <v>1259</v>
      </c>
      <c r="G138">
        <v>8799</v>
      </c>
      <c r="H138">
        <v>0</v>
      </c>
      <c r="I138">
        <v>63</v>
      </c>
      <c r="J138">
        <v>0</v>
      </c>
      <c r="K138">
        <v>0</v>
      </c>
      <c r="L138">
        <v>0</v>
      </c>
      <c r="M138">
        <v>3560519.8</v>
      </c>
      <c r="N138" s="4">
        <v>46267</v>
      </c>
      <c r="O138" t="s">
        <v>1742</v>
      </c>
      <c r="P138" t="s">
        <v>717</v>
      </c>
      <c r="S138" t="s">
        <v>1614</v>
      </c>
      <c r="T138" t="s">
        <v>1261</v>
      </c>
      <c r="U138" t="s">
        <v>1262</v>
      </c>
      <c r="V138">
        <v>765244</v>
      </c>
      <c r="W138" t="s">
        <v>1614</v>
      </c>
      <c r="X138" t="s">
        <v>1263</v>
      </c>
      <c r="Y138" t="s">
        <v>1743</v>
      </c>
      <c r="Z138" t="s">
        <v>1744</v>
      </c>
      <c r="AA138" s="5">
        <v>46267.692361111112</v>
      </c>
      <c r="AB138" t="s">
        <v>1266</v>
      </c>
      <c r="AC138" t="s">
        <v>1267</v>
      </c>
      <c r="AD138" t="s">
        <v>1268</v>
      </c>
      <c r="AE138" t="s">
        <v>1269</v>
      </c>
      <c r="AF138" t="s">
        <v>1270</v>
      </c>
    </row>
    <row r="139" spans="2:32" hidden="1" x14ac:dyDescent="0.25">
      <c r="B139">
        <v>395390</v>
      </c>
      <c r="C139" t="s">
        <v>1609</v>
      </c>
      <c r="D139" t="s">
        <v>1257</v>
      </c>
      <c r="E139" t="s">
        <v>1258</v>
      </c>
      <c r="F139" t="s">
        <v>1259</v>
      </c>
      <c r="G139">
        <v>13989</v>
      </c>
      <c r="H139">
        <v>0</v>
      </c>
      <c r="I139">
        <v>72</v>
      </c>
      <c r="J139">
        <v>0</v>
      </c>
      <c r="K139">
        <v>0</v>
      </c>
      <c r="L139">
        <v>0</v>
      </c>
      <c r="M139">
        <v>3536640.8</v>
      </c>
      <c r="N139" s="4">
        <v>46267</v>
      </c>
      <c r="O139" t="s">
        <v>1745</v>
      </c>
      <c r="Q139" t="s">
        <v>1746</v>
      </c>
      <c r="S139" t="s">
        <v>1747</v>
      </c>
      <c r="T139" t="s">
        <v>1261</v>
      </c>
      <c r="U139" t="s">
        <v>1262</v>
      </c>
      <c r="V139">
        <v>852648</v>
      </c>
      <c r="W139" t="s">
        <v>1747</v>
      </c>
      <c r="X139" t="s">
        <v>1263</v>
      </c>
      <c r="Y139" t="s">
        <v>1748</v>
      </c>
      <c r="Z139" t="s">
        <v>1749</v>
      </c>
      <c r="AA139" s="5">
        <v>46267.692361111112</v>
      </c>
      <c r="AB139" t="s">
        <v>1345</v>
      </c>
      <c r="AC139" t="s">
        <v>1267</v>
      </c>
      <c r="AD139" t="s">
        <v>1346</v>
      </c>
      <c r="AE139" t="s">
        <v>1347</v>
      </c>
      <c r="AF139" t="s">
        <v>1750</v>
      </c>
    </row>
    <row r="140" spans="2:32" x14ac:dyDescent="0.25">
      <c r="B140">
        <v>395390</v>
      </c>
      <c r="C140" t="s">
        <v>1609</v>
      </c>
      <c r="D140" t="s">
        <v>1257</v>
      </c>
      <c r="E140" t="s">
        <v>1258</v>
      </c>
      <c r="F140" t="s">
        <v>1259</v>
      </c>
      <c r="G140">
        <v>56622</v>
      </c>
      <c r="H140">
        <v>0</v>
      </c>
      <c r="I140">
        <v>136</v>
      </c>
      <c r="J140">
        <v>0</v>
      </c>
      <c r="K140">
        <v>0</v>
      </c>
      <c r="L140">
        <v>0</v>
      </c>
      <c r="M140">
        <v>3479882.8</v>
      </c>
      <c r="N140" s="4">
        <v>46267</v>
      </c>
      <c r="O140" t="s">
        <v>1751</v>
      </c>
      <c r="P140" t="s">
        <v>698</v>
      </c>
      <c r="S140" t="s">
        <v>1564</v>
      </c>
      <c r="T140" t="s">
        <v>1261</v>
      </c>
      <c r="U140" t="s">
        <v>1262</v>
      </c>
      <c r="V140">
        <v>852648</v>
      </c>
      <c r="W140" t="s">
        <v>1564</v>
      </c>
      <c r="X140" t="s">
        <v>1263</v>
      </c>
      <c r="Y140" t="s">
        <v>1752</v>
      </c>
      <c r="Z140" t="s">
        <v>1753</v>
      </c>
      <c r="AA140" s="5">
        <v>46267.692361111112</v>
      </c>
      <c r="AB140" t="s">
        <v>1266</v>
      </c>
      <c r="AC140" t="s">
        <v>1267</v>
      </c>
      <c r="AD140" t="s">
        <v>1268</v>
      </c>
      <c r="AE140" t="s">
        <v>1269</v>
      </c>
      <c r="AF140" t="s">
        <v>1270</v>
      </c>
    </row>
    <row r="141" spans="2:32" x14ac:dyDescent="0.25">
      <c r="B141">
        <v>395390</v>
      </c>
      <c r="C141" t="s">
        <v>1609</v>
      </c>
      <c r="D141" t="s">
        <v>1257</v>
      </c>
      <c r="E141" t="s">
        <v>1258</v>
      </c>
      <c r="F141" t="s">
        <v>1259</v>
      </c>
      <c r="G141">
        <v>2940</v>
      </c>
      <c r="H141">
        <v>0</v>
      </c>
      <c r="I141">
        <v>40</v>
      </c>
      <c r="J141">
        <v>0</v>
      </c>
      <c r="K141">
        <v>0</v>
      </c>
      <c r="L141">
        <v>0</v>
      </c>
      <c r="M141">
        <v>3476902.8</v>
      </c>
      <c r="N141" s="4">
        <v>46267</v>
      </c>
      <c r="O141" t="s">
        <v>1754</v>
      </c>
      <c r="P141" t="s">
        <v>710</v>
      </c>
      <c r="S141" t="s">
        <v>1614</v>
      </c>
      <c r="T141" t="s">
        <v>1261</v>
      </c>
      <c r="U141" t="s">
        <v>1262</v>
      </c>
      <c r="V141">
        <v>765244</v>
      </c>
      <c r="W141" t="s">
        <v>1614</v>
      </c>
      <c r="X141" t="s">
        <v>1263</v>
      </c>
      <c r="Y141" t="s">
        <v>1755</v>
      </c>
      <c r="Z141" t="s">
        <v>1756</v>
      </c>
      <c r="AA141" s="5">
        <v>46267.692361111112</v>
      </c>
      <c r="AB141" t="s">
        <v>1266</v>
      </c>
      <c r="AC141" t="s">
        <v>1267</v>
      </c>
      <c r="AD141" t="s">
        <v>1268</v>
      </c>
      <c r="AE141" t="s">
        <v>1269</v>
      </c>
      <c r="AF141" t="s">
        <v>1270</v>
      </c>
    </row>
    <row r="142" spans="2:32" x14ac:dyDescent="0.25">
      <c r="B142">
        <v>395390</v>
      </c>
      <c r="C142" t="s">
        <v>1609</v>
      </c>
      <c r="D142" t="s">
        <v>1257</v>
      </c>
      <c r="E142" t="s">
        <v>1258</v>
      </c>
      <c r="F142" t="s">
        <v>1259</v>
      </c>
      <c r="G142">
        <v>5244</v>
      </c>
      <c r="H142">
        <v>0</v>
      </c>
      <c r="I142">
        <v>57</v>
      </c>
      <c r="J142">
        <v>0</v>
      </c>
      <c r="K142">
        <v>0</v>
      </c>
      <c r="L142">
        <v>0</v>
      </c>
      <c r="M142">
        <v>3461668.8</v>
      </c>
      <c r="N142" s="4">
        <v>46267</v>
      </c>
      <c r="O142" t="s">
        <v>1757</v>
      </c>
      <c r="P142" t="s">
        <v>707</v>
      </c>
      <c r="S142" t="s">
        <v>1614</v>
      </c>
      <c r="T142" t="s">
        <v>1261</v>
      </c>
      <c r="U142" t="s">
        <v>1262</v>
      </c>
      <c r="V142">
        <v>765244</v>
      </c>
      <c r="W142" t="s">
        <v>1614</v>
      </c>
      <c r="X142" t="s">
        <v>1263</v>
      </c>
      <c r="Y142" t="s">
        <v>1758</v>
      </c>
      <c r="Z142" t="s">
        <v>1759</v>
      </c>
      <c r="AA142" s="5">
        <v>46267.692361111112</v>
      </c>
      <c r="AB142" t="s">
        <v>1266</v>
      </c>
      <c r="AC142" t="s">
        <v>1267</v>
      </c>
      <c r="AD142" t="s">
        <v>1268</v>
      </c>
      <c r="AE142" t="s">
        <v>1269</v>
      </c>
      <c r="AF142" t="s">
        <v>1270</v>
      </c>
    </row>
    <row r="143" spans="2:32" x14ac:dyDescent="0.25">
      <c r="B143">
        <v>395390</v>
      </c>
      <c r="C143" t="s">
        <v>1609</v>
      </c>
      <c r="D143" t="s">
        <v>1257</v>
      </c>
      <c r="E143" t="s">
        <v>1258</v>
      </c>
      <c r="F143" t="s">
        <v>1259</v>
      </c>
      <c r="G143">
        <v>9699</v>
      </c>
      <c r="H143">
        <v>0</v>
      </c>
      <c r="I143">
        <v>63</v>
      </c>
      <c r="J143">
        <v>0</v>
      </c>
      <c r="K143">
        <v>0</v>
      </c>
      <c r="L143">
        <v>0</v>
      </c>
      <c r="M143">
        <v>3447807.8</v>
      </c>
      <c r="N143" s="4">
        <v>46267</v>
      </c>
      <c r="O143" t="s">
        <v>1760</v>
      </c>
      <c r="P143" t="s">
        <v>689</v>
      </c>
      <c r="S143" t="s">
        <v>1564</v>
      </c>
      <c r="T143" t="s">
        <v>1261</v>
      </c>
      <c r="U143" t="s">
        <v>1262</v>
      </c>
      <c r="V143">
        <v>852648</v>
      </c>
      <c r="W143" t="s">
        <v>1564</v>
      </c>
      <c r="X143" t="s">
        <v>1263</v>
      </c>
      <c r="Y143" t="s">
        <v>1761</v>
      </c>
      <c r="Z143" t="s">
        <v>1762</v>
      </c>
      <c r="AA143" s="5">
        <v>46267.692361111112</v>
      </c>
      <c r="AB143" t="s">
        <v>1266</v>
      </c>
      <c r="AC143" t="s">
        <v>1267</v>
      </c>
      <c r="AD143" t="s">
        <v>1268</v>
      </c>
      <c r="AE143" t="s">
        <v>1269</v>
      </c>
      <c r="AF143" t="s">
        <v>1270</v>
      </c>
    </row>
    <row r="144" spans="2:32" x14ac:dyDescent="0.25">
      <c r="B144">
        <v>395390</v>
      </c>
      <c r="C144" t="s">
        <v>1609</v>
      </c>
      <c r="D144" t="s">
        <v>1257</v>
      </c>
      <c r="E144" t="s">
        <v>1258</v>
      </c>
      <c r="F144" t="s">
        <v>1259</v>
      </c>
      <c r="G144">
        <v>10807</v>
      </c>
      <c r="H144">
        <v>0</v>
      </c>
      <c r="I144">
        <v>72</v>
      </c>
      <c r="J144">
        <v>0</v>
      </c>
      <c r="K144">
        <v>0</v>
      </c>
      <c r="L144">
        <v>0</v>
      </c>
      <c r="M144">
        <v>3433734.8</v>
      </c>
      <c r="N144" s="4">
        <v>46267</v>
      </c>
      <c r="O144" t="s">
        <v>1763</v>
      </c>
      <c r="P144" t="s">
        <v>703</v>
      </c>
      <c r="S144" t="s">
        <v>1627</v>
      </c>
      <c r="T144" t="s">
        <v>1261</v>
      </c>
      <c r="U144" t="s">
        <v>1262</v>
      </c>
      <c r="V144">
        <v>350050</v>
      </c>
      <c r="W144" t="s">
        <v>1627</v>
      </c>
      <c r="X144" t="s">
        <v>1263</v>
      </c>
      <c r="Y144" t="s">
        <v>1764</v>
      </c>
      <c r="Z144" t="s">
        <v>1765</v>
      </c>
      <c r="AA144" s="5">
        <v>46267.692361111112</v>
      </c>
      <c r="AB144" t="s">
        <v>1266</v>
      </c>
      <c r="AC144" t="s">
        <v>1267</v>
      </c>
      <c r="AD144" t="s">
        <v>1268</v>
      </c>
      <c r="AE144" t="s">
        <v>1269</v>
      </c>
      <c r="AF144" t="s">
        <v>1270</v>
      </c>
    </row>
    <row r="145" spans="2:32" x14ac:dyDescent="0.25">
      <c r="B145">
        <v>395390</v>
      </c>
      <c r="C145" t="s">
        <v>1609</v>
      </c>
      <c r="D145" t="s">
        <v>1257</v>
      </c>
      <c r="E145" t="s">
        <v>1258</v>
      </c>
      <c r="F145" t="s">
        <v>1259</v>
      </c>
      <c r="G145">
        <v>4575</v>
      </c>
      <c r="H145">
        <v>0</v>
      </c>
      <c r="I145">
        <v>49</v>
      </c>
      <c r="J145">
        <v>0</v>
      </c>
      <c r="K145">
        <v>0</v>
      </c>
      <c r="L145">
        <v>0</v>
      </c>
      <c r="M145">
        <v>3388495.8</v>
      </c>
      <c r="N145" s="4">
        <v>46267</v>
      </c>
      <c r="O145" t="s">
        <v>1766</v>
      </c>
      <c r="P145" t="s">
        <v>694</v>
      </c>
      <c r="S145" t="s">
        <v>1564</v>
      </c>
      <c r="T145" t="s">
        <v>1261</v>
      </c>
      <c r="U145" t="s">
        <v>1262</v>
      </c>
      <c r="V145">
        <v>852648</v>
      </c>
      <c r="W145" t="s">
        <v>1564</v>
      </c>
      <c r="X145" t="s">
        <v>1263</v>
      </c>
      <c r="Y145" t="s">
        <v>1767</v>
      </c>
      <c r="Z145" t="s">
        <v>1768</v>
      </c>
      <c r="AA145" s="5">
        <v>46267.692361111112</v>
      </c>
      <c r="AB145" t="s">
        <v>1266</v>
      </c>
      <c r="AC145" t="s">
        <v>1267</v>
      </c>
      <c r="AD145" t="s">
        <v>1268</v>
      </c>
      <c r="AE145" t="s">
        <v>1269</v>
      </c>
      <c r="AF145" t="s">
        <v>1270</v>
      </c>
    </row>
    <row r="146" spans="2:32" x14ac:dyDescent="0.25">
      <c r="B146">
        <v>395390</v>
      </c>
      <c r="C146" t="s">
        <v>1609</v>
      </c>
      <c r="D146" t="s">
        <v>1257</v>
      </c>
      <c r="E146" t="s">
        <v>1258</v>
      </c>
      <c r="F146" t="s">
        <v>1259</v>
      </c>
      <c r="G146">
        <v>12922</v>
      </c>
      <c r="H146">
        <v>0</v>
      </c>
      <c r="I146">
        <v>72</v>
      </c>
      <c r="J146">
        <v>0</v>
      </c>
      <c r="K146">
        <v>0</v>
      </c>
      <c r="L146">
        <v>0</v>
      </c>
      <c r="M146">
        <v>3270170.8</v>
      </c>
      <c r="N146" s="4">
        <v>46267</v>
      </c>
      <c r="O146" t="s">
        <v>1769</v>
      </c>
      <c r="P146" t="s">
        <v>651</v>
      </c>
      <c r="S146" t="s">
        <v>1564</v>
      </c>
      <c r="T146" t="s">
        <v>1261</v>
      </c>
      <c r="U146" t="s">
        <v>1262</v>
      </c>
      <c r="V146">
        <v>852648</v>
      </c>
      <c r="W146" t="s">
        <v>1564</v>
      </c>
      <c r="X146" t="s">
        <v>1263</v>
      </c>
      <c r="Y146" t="s">
        <v>1770</v>
      </c>
      <c r="Z146" t="s">
        <v>1771</v>
      </c>
      <c r="AA146" s="5">
        <v>46267.692361111112</v>
      </c>
      <c r="AB146" t="s">
        <v>1266</v>
      </c>
      <c r="AC146" t="s">
        <v>1267</v>
      </c>
      <c r="AD146" t="s">
        <v>1268</v>
      </c>
      <c r="AE146" t="s">
        <v>1269</v>
      </c>
      <c r="AF146" t="s">
        <v>1270</v>
      </c>
    </row>
    <row r="147" spans="2:32" x14ac:dyDescent="0.25">
      <c r="B147">
        <v>395390</v>
      </c>
      <c r="C147" t="s">
        <v>1609</v>
      </c>
      <c r="D147" t="s">
        <v>1257</v>
      </c>
      <c r="E147" t="s">
        <v>1258</v>
      </c>
      <c r="F147" t="s">
        <v>1259</v>
      </c>
      <c r="G147">
        <v>25239</v>
      </c>
      <c r="H147">
        <v>0</v>
      </c>
      <c r="I147">
        <v>92</v>
      </c>
      <c r="J147">
        <v>0</v>
      </c>
      <c r="K147">
        <v>0</v>
      </c>
      <c r="L147">
        <v>0</v>
      </c>
      <c r="M147">
        <v>3240196.8</v>
      </c>
      <c r="N147" s="4">
        <v>46267</v>
      </c>
      <c r="O147" t="s">
        <v>1772</v>
      </c>
      <c r="P147" t="s">
        <v>644</v>
      </c>
      <c r="S147" t="s">
        <v>1564</v>
      </c>
      <c r="T147" t="s">
        <v>1261</v>
      </c>
      <c r="U147" t="s">
        <v>1262</v>
      </c>
      <c r="V147">
        <v>852648</v>
      </c>
      <c r="W147" t="s">
        <v>1564</v>
      </c>
      <c r="X147" t="s">
        <v>1263</v>
      </c>
      <c r="Y147" t="s">
        <v>1773</v>
      </c>
      <c r="Z147" t="s">
        <v>1774</v>
      </c>
      <c r="AA147" s="5">
        <v>46267.692361111112</v>
      </c>
      <c r="AB147" t="s">
        <v>1266</v>
      </c>
      <c r="AC147" t="s">
        <v>1267</v>
      </c>
      <c r="AD147" t="s">
        <v>1268</v>
      </c>
      <c r="AE147" t="s">
        <v>1269</v>
      </c>
      <c r="AF147" t="s">
        <v>1270</v>
      </c>
    </row>
    <row r="148" spans="2:32" x14ac:dyDescent="0.25">
      <c r="B148">
        <v>395390</v>
      </c>
      <c r="C148" t="s">
        <v>1609</v>
      </c>
      <c r="D148" t="s">
        <v>1257</v>
      </c>
      <c r="E148" t="s">
        <v>1258</v>
      </c>
      <c r="F148" t="s">
        <v>1259</v>
      </c>
      <c r="G148">
        <v>10139</v>
      </c>
      <c r="H148">
        <v>0</v>
      </c>
      <c r="I148">
        <v>72</v>
      </c>
      <c r="J148">
        <v>0</v>
      </c>
      <c r="K148">
        <v>0</v>
      </c>
      <c r="L148">
        <v>0</v>
      </c>
      <c r="M148">
        <v>3229985.8</v>
      </c>
      <c r="N148" s="4">
        <v>46267</v>
      </c>
      <c r="O148" t="s">
        <v>1775</v>
      </c>
      <c r="P148" t="s">
        <v>678</v>
      </c>
      <c r="S148" t="s">
        <v>1627</v>
      </c>
      <c r="T148" t="s">
        <v>1261</v>
      </c>
      <c r="U148" t="s">
        <v>1262</v>
      </c>
      <c r="V148">
        <v>350050</v>
      </c>
      <c r="W148" t="s">
        <v>1627</v>
      </c>
      <c r="X148" t="s">
        <v>1263</v>
      </c>
      <c r="Y148" t="s">
        <v>1776</v>
      </c>
      <c r="Z148" t="s">
        <v>1777</v>
      </c>
      <c r="AA148" s="5">
        <v>46267.692361111112</v>
      </c>
      <c r="AB148" t="s">
        <v>1266</v>
      </c>
      <c r="AC148" t="s">
        <v>1267</v>
      </c>
      <c r="AD148" t="s">
        <v>1268</v>
      </c>
      <c r="AE148" t="s">
        <v>1269</v>
      </c>
      <c r="AF148" t="s">
        <v>1270</v>
      </c>
    </row>
    <row r="149" spans="2:32" x14ac:dyDescent="0.25">
      <c r="B149">
        <v>395390</v>
      </c>
      <c r="C149" t="s">
        <v>1609</v>
      </c>
      <c r="D149" t="s">
        <v>1257</v>
      </c>
      <c r="E149" t="s">
        <v>1258</v>
      </c>
      <c r="F149" t="s">
        <v>1259</v>
      </c>
      <c r="G149">
        <v>6886</v>
      </c>
      <c r="H149">
        <v>0</v>
      </c>
      <c r="I149">
        <v>57</v>
      </c>
      <c r="J149">
        <v>0</v>
      </c>
      <c r="K149">
        <v>0</v>
      </c>
      <c r="L149">
        <v>0</v>
      </c>
      <c r="M149">
        <v>3223042.8</v>
      </c>
      <c r="N149" s="4">
        <v>46267</v>
      </c>
      <c r="O149" t="s">
        <v>1778</v>
      </c>
      <c r="P149" t="s">
        <v>661</v>
      </c>
      <c r="S149" t="s">
        <v>1627</v>
      </c>
      <c r="T149" t="s">
        <v>1261</v>
      </c>
      <c r="U149" t="s">
        <v>1262</v>
      </c>
      <c r="V149">
        <v>350050</v>
      </c>
      <c r="W149" t="s">
        <v>1627</v>
      </c>
      <c r="X149" t="s">
        <v>1263</v>
      </c>
      <c r="Y149" t="s">
        <v>1779</v>
      </c>
      <c r="Z149" t="s">
        <v>1780</v>
      </c>
      <c r="AA149" s="5">
        <v>46267.692361111112</v>
      </c>
      <c r="AB149" t="s">
        <v>1266</v>
      </c>
      <c r="AC149" t="s">
        <v>1267</v>
      </c>
      <c r="AD149" t="s">
        <v>1268</v>
      </c>
      <c r="AE149" t="s">
        <v>1269</v>
      </c>
      <c r="AF149" t="s">
        <v>1270</v>
      </c>
    </row>
    <row r="150" spans="2:32" x14ac:dyDescent="0.25">
      <c r="B150">
        <v>395390</v>
      </c>
      <c r="C150" t="s">
        <v>1609</v>
      </c>
      <c r="D150" t="s">
        <v>1257</v>
      </c>
      <c r="E150" t="s">
        <v>1258</v>
      </c>
      <c r="F150" t="s">
        <v>1259</v>
      </c>
      <c r="G150">
        <v>7153</v>
      </c>
      <c r="H150">
        <v>0</v>
      </c>
      <c r="I150">
        <v>57</v>
      </c>
      <c r="J150">
        <v>0</v>
      </c>
      <c r="K150">
        <v>0</v>
      </c>
      <c r="L150">
        <v>0</v>
      </c>
      <c r="M150">
        <v>3202237.8</v>
      </c>
      <c r="N150" s="4">
        <v>46267</v>
      </c>
      <c r="O150" t="s">
        <v>1781</v>
      </c>
      <c r="P150" t="s">
        <v>683</v>
      </c>
      <c r="S150" t="s">
        <v>1614</v>
      </c>
      <c r="T150" t="s">
        <v>1261</v>
      </c>
      <c r="U150" t="s">
        <v>1262</v>
      </c>
      <c r="V150">
        <v>765244</v>
      </c>
      <c r="W150" t="s">
        <v>1614</v>
      </c>
      <c r="X150" t="s">
        <v>1263</v>
      </c>
      <c r="Y150" t="s">
        <v>1782</v>
      </c>
      <c r="Z150" t="s">
        <v>1783</v>
      </c>
      <c r="AA150" s="5">
        <v>46267.692361111112</v>
      </c>
      <c r="AB150" t="s">
        <v>1266</v>
      </c>
      <c r="AC150" t="s">
        <v>1267</v>
      </c>
      <c r="AD150" t="s">
        <v>1268</v>
      </c>
      <c r="AE150" t="s">
        <v>1269</v>
      </c>
      <c r="AF150" t="s">
        <v>1270</v>
      </c>
    </row>
    <row r="151" spans="2:32" x14ac:dyDescent="0.25">
      <c r="B151">
        <v>395390</v>
      </c>
      <c r="C151" t="s">
        <v>1609</v>
      </c>
      <c r="D151" t="s">
        <v>1257</v>
      </c>
      <c r="E151" t="s">
        <v>1258</v>
      </c>
      <c r="F151" t="s">
        <v>1259</v>
      </c>
      <c r="G151">
        <v>2787</v>
      </c>
      <c r="H151">
        <v>0</v>
      </c>
      <c r="I151">
        <v>40</v>
      </c>
      <c r="J151">
        <v>0</v>
      </c>
      <c r="K151">
        <v>0</v>
      </c>
      <c r="L151">
        <v>0</v>
      </c>
      <c r="M151">
        <v>3199410.8</v>
      </c>
      <c r="N151" s="4">
        <v>46267</v>
      </c>
      <c r="O151" t="s">
        <v>1784</v>
      </c>
      <c r="P151" t="s">
        <v>657</v>
      </c>
      <c r="S151" t="s">
        <v>1614</v>
      </c>
      <c r="T151" t="s">
        <v>1261</v>
      </c>
      <c r="U151" t="s">
        <v>1262</v>
      </c>
      <c r="V151">
        <v>765244</v>
      </c>
      <c r="W151" t="s">
        <v>1614</v>
      </c>
      <c r="X151" t="s">
        <v>1263</v>
      </c>
      <c r="Y151" t="s">
        <v>1785</v>
      </c>
      <c r="Z151" t="s">
        <v>1786</v>
      </c>
      <c r="AA151" s="5">
        <v>46267.692361111112</v>
      </c>
      <c r="AB151" t="s">
        <v>1266</v>
      </c>
      <c r="AC151" t="s">
        <v>1267</v>
      </c>
      <c r="AD151" t="s">
        <v>1268</v>
      </c>
      <c r="AE151" t="s">
        <v>1269</v>
      </c>
      <c r="AF151" t="s">
        <v>1270</v>
      </c>
    </row>
    <row r="152" spans="2:32" x14ac:dyDescent="0.25">
      <c r="B152">
        <v>395390</v>
      </c>
      <c r="C152" t="s">
        <v>1609</v>
      </c>
      <c r="D152" t="s">
        <v>1257</v>
      </c>
      <c r="E152" t="s">
        <v>1258</v>
      </c>
      <c r="F152" t="s">
        <v>1259</v>
      </c>
      <c r="G152">
        <v>2882</v>
      </c>
      <c r="H152">
        <v>0</v>
      </c>
      <c r="I152">
        <v>40</v>
      </c>
      <c r="J152">
        <v>0</v>
      </c>
      <c r="K152">
        <v>0</v>
      </c>
      <c r="L152">
        <v>0</v>
      </c>
      <c r="M152">
        <v>3196488.8</v>
      </c>
      <c r="N152" s="4">
        <v>46267</v>
      </c>
      <c r="O152" t="s">
        <v>1787</v>
      </c>
      <c r="P152" t="s">
        <v>665</v>
      </c>
      <c r="S152" t="s">
        <v>1614</v>
      </c>
      <c r="T152" t="s">
        <v>1261</v>
      </c>
      <c r="U152" t="s">
        <v>1262</v>
      </c>
      <c r="V152">
        <v>765244</v>
      </c>
      <c r="W152" t="s">
        <v>1614</v>
      </c>
      <c r="X152" t="s">
        <v>1263</v>
      </c>
      <c r="Y152" t="s">
        <v>1788</v>
      </c>
      <c r="Z152" t="s">
        <v>1789</v>
      </c>
      <c r="AA152" s="5">
        <v>46267.692361111112</v>
      </c>
      <c r="AB152" t="s">
        <v>1266</v>
      </c>
      <c r="AC152" t="s">
        <v>1267</v>
      </c>
      <c r="AD152" t="s">
        <v>1268</v>
      </c>
      <c r="AE152" t="s">
        <v>1269</v>
      </c>
      <c r="AF152" t="s">
        <v>1270</v>
      </c>
    </row>
    <row r="153" spans="2:32" x14ac:dyDescent="0.25">
      <c r="B153">
        <v>395390</v>
      </c>
      <c r="C153" t="s">
        <v>1609</v>
      </c>
      <c r="D153" t="s">
        <v>1257</v>
      </c>
      <c r="E153" t="s">
        <v>1258</v>
      </c>
      <c r="F153" t="s">
        <v>1259</v>
      </c>
      <c r="G153">
        <v>12232</v>
      </c>
      <c r="H153">
        <v>0</v>
      </c>
      <c r="I153">
        <v>72</v>
      </c>
      <c r="J153">
        <v>0</v>
      </c>
      <c r="K153">
        <v>0</v>
      </c>
      <c r="L153">
        <v>0</v>
      </c>
      <c r="M153">
        <v>3184184.8</v>
      </c>
      <c r="N153" s="4">
        <v>46267</v>
      </c>
      <c r="O153" t="s">
        <v>1790</v>
      </c>
      <c r="P153" t="s">
        <v>686</v>
      </c>
      <c r="S153" t="s">
        <v>1627</v>
      </c>
      <c r="T153" t="s">
        <v>1261</v>
      </c>
      <c r="U153" t="s">
        <v>1262</v>
      </c>
      <c r="V153">
        <v>350050</v>
      </c>
      <c r="W153" t="s">
        <v>1627</v>
      </c>
      <c r="X153" t="s">
        <v>1263</v>
      </c>
      <c r="Y153" t="s">
        <v>1791</v>
      </c>
      <c r="Z153" t="s">
        <v>1792</v>
      </c>
      <c r="AA153" s="5">
        <v>46267.692361111112</v>
      </c>
      <c r="AB153" t="s">
        <v>1266</v>
      </c>
      <c r="AC153" t="s">
        <v>1267</v>
      </c>
      <c r="AD153" t="s">
        <v>1268</v>
      </c>
      <c r="AE153" t="s">
        <v>1269</v>
      </c>
      <c r="AF153" t="s">
        <v>1270</v>
      </c>
    </row>
    <row r="154" spans="2:32" x14ac:dyDescent="0.25">
      <c r="B154">
        <v>395390</v>
      </c>
      <c r="C154" t="s">
        <v>1609</v>
      </c>
      <c r="D154" t="s">
        <v>1257</v>
      </c>
      <c r="E154" t="s">
        <v>1258</v>
      </c>
      <c r="F154" t="s">
        <v>1259</v>
      </c>
      <c r="G154">
        <v>21771</v>
      </c>
      <c r="H154">
        <v>0</v>
      </c>
      <c r="I154">
        <v>87</v>
      </c>
      <c r="J154">
        <v>0</v>
      </c>
      <c r="K154">
        <v>0</v>
      </c>
      <c r="L154">
        <v>0</v>
      </c>
      <c r="M154">
        <v>3142597.8</v>
      </c>
      <c r="N154" s="4">
        <v>46267</v>
      </c>
      <c r="O154" t="s">
        <v>1793</v>
      </c>
      <c r="P154" t="s">
        <v>671</v>
      </c>
      <c r="S154" t="s">
        <v>1627</v>
      </c>
      <c r="T154" t="s">
        <v>1261</v>
      </c>
      <c r="U154" t="s">
        <v>1262</v>
      </c>
      <c r="V154">
        <v>350050</v>
      </c>
      <c r="W154" t="s">
        <v>1627</v>
      </c>
      <c r="X154" t="s">
        <v>1263</v>
      </c>
      <c r="Y154" t="s">
        <v>1794</v>
      </c>
      <c r="Z154" t="s">
        <v>1795</v>
      </c>
      <c r="AA154" s="5">
        <v>46267.692361111112</v>
      </c>
      <c r="AB154" t="s">
        <v>1266</v>
      </c>
      <c r="AC154" t="s">
        <v>1267</v>
      </c>
      <c r="AD154" t="s">
        <v>1268</v>
      </c>
      <c r="AE154" t="s">
        <v>1269</v>
      </c>
      <c r="AF154" t="s">
        <v>1270</v>
      </c>
    </row>
    <row r="155" spans="2:32" hidden="1" x14ac:dyDescent="0.25">
      <c r="B155">
        <v>395390</v>
      </c>
      <c r="C155" t="s">
        <v>1609</v>
      </c>
      <c r="D155" t="s">
        <v>1257</v>
      </c>
      <c r="E155" t="s">
        <v>1258</v>
      </c>
      <c r="F155" t="s">
        <v>1259</v>
      </c>
      <c r="G155">
        <v>22378</v>
      </c>
      <c r="H155">
        <v>0</v>
      </c>
      <c r="I155">
        <v>87</v>
      </c>
      <c r="J155">
        <v>0</v>
      </c>
      <c r="K155">
        <v>0</v>
      </c>
      <c r="L155">
        <v>0</v>
      </c>
      <c r="M155">
        <v>3113741.8</v>
      </c>
      <c r="N155" s="4">
        <v>46267</v>
      </c>
      <c r="O155" t="s">
        <v>1796</v>
      </c>
      <c r="Q155" t="s">
        <v>1797</v>
      </c>
      <c r="S155" t="s">
        <v>1747</v>
      </c>
      <c r="T155" t="s">
        <v>1261</v>
      </c>
      <c r="U155" t="s">
        <v>1262</v>
      </c>
      <c r="V155">
        <v>852648</v>
      </c>
      <c r="W155" t="s">
        <v>1747</v>
      </c>
      <c r="X155" t="s">
        <v>1263</v>
      </c>
      <c r="Y155" t="s">
        <v>1798</v>
      </c>
      <c r="Z155" t="s">
        <v>1799</v>
      </c>
      <c r="AA155" s="5">
        <v>46267.692361111112</v>
      </c>
      <c r="AB155" t="s">
        <v>1345</v>
      </c>
      <c r="AC155" t="s">
        <v>1267</v>
      </c>
      <c r="AD155" t="s">
        <v>1346</v>
      </c>
      <c r="AE155" t="s">
        <v>1347</v>
      </c>
      <c r="AF155" t="s">
        <v>1750</v>
      </c>
    </row>
    <row r="156" spans="2:32" x14ac:dyDescent="0.25">
      <c r="B156">
        <v>395390</v>
      </c>
      <c r="C156" t="s">
        <v>1609</v>
      </c>
      <c r="D156" t="s">
        <v>1257</v>
      </c>
      <c r="E156" t="s">
        <v>1258</v>
      </c>
      <c r="F156" t="s">
        <v>1259</v>
      </c>
      <c r="G156">
        <v>5220</v>
      </c>
      <c r="H156">
        <v>0</v>
      </c>
      <c r="I156">
        <v>57</v>
      </c>
      <c r="J156">
        <v>0</v>
      </c>
      <c r="K156">
        <v>0</v>
      </c>
      <c r="L156">
        <v>0</v>
      </c>
      <c r="M156">
        <v>3102335.8</v>
      </c>
      <c r="N156" s="4">
        <v>46267</v>
      </c>
      <c r="O156" t="s">
        <v>1800</v>
      </c>
      <c r="P156" t="s">
        <v>668</v>
      </c>
      <c r="S156" t="s">
        <v>1614</v>
      </c>
      <c r="T156" t="s">
        <v>1261</v>
      </c>
      <c r="U156" t="s">
        <v>1262</v>
      </c>
      <c r="V156">
        <v>765244</v>
      </c>
      <c r="W156" t="s">
        <v>1614</v>
      </c>
      <c r="X156" t="s">
        <v>1263</v>
      </c>
      <c r="Y156" t="s">
        <v>1801</v>
      </c>
      <c r="Z156" t="s">
        <v>1802</v>
      </c>
      <c r="AA156" s="5">
        <v>46267.692361111112</v>
      </c>
      <c r="AB156" t="s">
        <v>1266</v>
      </c>
      <c r="AC156" t="s">
        <v>1267</v>
      </c>
      <c r="AD156" t="s">
        <v>1268</v>
      </c>
      <c r="AE156" t="s">
        <v>1269</v>
      </c>
      <c r="AF156" t="s">
        <v>1270</v>
      </c>
    </row>
    <row r="157" spans="2:32" x14ac:dyDescent="0.25">
      <c r="B157">
        <v>395390</v>
      </c>
      <c r="C157" t="s">
        <v>1609</v>
      </c>
      <c r="D157" t="s">
        <v>1257</v>
      </c>
      <c r="E157" t="s">
        <v>1258</v>
      </c>
      <c r="F157" t="s">
        <v>1259</v>
      </c>
      <c r="G157">
        <v>4780</v>
      </c>
      <c r="H157">
        <v>0</v>
      </c>
      <c r="I157">
        <v>49</v>
      </c>
      <c r="J157">
        <v>0</v>
      </c>
      <c r="K157">
        <v>0</v>
      </c>
      <c r="L157">
        <v>0</v>
      </c>
      <c r="M157">
        <v>3097506.8</v>
      </c>
      <c r="N157" s="4">
        <v>46267</v>
      </c>
      <c r="O157" t="s">
        <v>1803</v>
      </c>
      <c r="P157" t="s">
        <v>675</v>
      </c>
      <c r="S157" t="s">
        <v>1614</v>
      </c>
      <c r="T157" t="s">
        <v>1261</v>
      </c>
      <c r="U157" t="s">
        <v>1262</v>
      </c>
      <c r="V157">
        <v>765244</v>
      </c>
      <c r="W157" t="s">
        <v>1614</v>
      </c>
      <c r="X157" t="s">
        <v>1263</v>
      </c>
      <c r="Y157" t="s">
        <v>1804</v>
      </c>
      <c r="Z157" t="s">
        <v>1805</v>
      </c>
      <c r="AA157" s="5">
        <v>46267.692361111112</v>
      </c>
      <c r="AB157" t="s">
        <v>1266</v>
      </c>
      <c r="AC157" t="s">
        <v>1267</v>
      </c>
      <c r="AD157" t="s">
        <v>1268</v>
      </c>
      <c r="AE157" t="s">
        <v>1269</v>
      </c>
      <c r="AF157" t="s">
        <v>1270</v>
      </c>
    </row>
    <row r="158" spans="2:32" x14ac:dyDescent="0.25">
      <c r="B158">
        <v>395390</v>
      </c>
      <c r="C158" t="s">
        <v>1609</v>
      </c>
      <c r="D158" t="s">
        <v>1257</v>
      </c>
      <c r="E158" t="s">
        <v>1258</v>
      </c>
      <c r="F158" t="s">
        <v>1259</v>
      </c>
      <c r="G158">
        <v>18868</v>
      </c>
      <c r="H158">
        <v>0</v>
      </c>
      <c r="I158">
        <v>82</v>
      </c>
      <c r="J158">
        <v>0</v>
      </c>
      <c r="K158">
        <v>0</v>
      </c>
      <c r="L158">
        <v>0</v>
      </c>
      <c r="M158">
        <v>3061638.8</v>
      </c>
      <c r="N158" s="4">
        <v>46267</v>
      </c>
      <c r="O158" t="s">
        <v>1806</v>
      </c>
      <c r="P158" t="s">
        <v>640</v>
      </c>
      <c r="S158" t="s">
        <v>1564</v>
      </c>
      <c r="T158" t="s">
        <v>1261</v>
      </c>
      <c r="U158" t="s">
        <v>1262</v>
      </c>
      <c r="V158">
        <v>852648</v>
      </c>
      <c r="W158" t="s">
        <v>1564</v>
      </c>
      <c r="X158" t="s">
        <v>1263</v>
      </c>
      <c r="Y158" t="s">
        <v>1807</v>
      </c>
      <c r="Z158" t="s">
        <v>1808</v>
      </c>
      <c r="AA158" s="5">
        <v>46267.692361111112</v>
      </c>
      <c r="AB158" t="s">
        <v>1266</v>
      </c>
      <c r="AC158" t="s">
        <v>1267</v>
      </c>
      <c r="AD158" t="s">
        <v>1268</v>
      </c>
      <c r="AE158" t="s">
        <v>1269</v>
      </c>
      <c r="AF158" t="s">
        <v>1270</v>
      </c>
    </row>
    <row r="159" spans="2:32" x14ac:dyDescent="0.25">
      <c r="B159">
        <v>395390</v>
      </c>
      <c r="C159" t="s">
        <v>1609</v>
      </c>
      <c r="D159" t="s">
        <v>1257</v>
      </c>
      <c r="E159" t="s">
        <v>1258</v>
      </c>
      <c r="F159" t="s">
        <v>1259</v>
      </c>
      <c r="G159">
        <v>12508</v>
      </c>
      <c r="H159">
        <v>0</v>
      </c>
      <c r="I159">
        <v>72</v>
      </c>
      <c r="J159">
        <v>0</v>
      </c>
      <c r="K159">
        <v>0</v>
      </c>
      <c r="L159">
        <v>0</v>
      </c>
      <c r="M159">
        <v>3049058.8</v>
      </c>
      <c r="N159" s="4">
        <v>46267</v>
      </c>
      <c r="O159" t="s">
        <v>1809</v>
      </c>
      <c r="P159" t="s">
        <v>647</v>
      </c>
      <c r="S159" t="s">
        <v>1627</v>
      </c>
      <c r="T159" t="s">
        <v>1261</v>
      </c>
      <c r="U159" t="s">
        <v>1262</v>
      </c>
      <c r="V159">
        <v>350050</v>
      </c>
      <c r="W159" t="s">
        <v>1627</v>
      </c>
      <c r="X159" t="s">
        <v>1263</v>
      </c>
      <c r="Y159" t="s">
        <v>1810</v>
      </c>
      <c r="Z159" t="s">
        <v>1811</v>
      </c>
      <c r="AA159" s="5">
        <v>46267.692361111112</v>
      </c>
      <c r="AB159" t="s">
        <v>1266</v>
      </c>
      <c r="AC159" t="s">
        <v>1267</v>
      </c>
      <c r="AD159" t="s">
        <v>1268</v>
      </c>
      <c r="AE159" t="s">
        <v>1269</v>
      </c>
      <c r="AF159" t="s">
        <v>1270</v>
      </c>
    </row>
    <row r="160" spans="2:32" x14ac:dyDescent="0.25">
      <c r="B160">
        <v>395390</v>
      </c>
      <c r="C160" t="s">
        <v>1609</v>
      </c>
      <c r="D160" t="s">
        <v>1257</v>
      </c>
      <c r="E160" t="s">
        <v>1258</v>
      </c>
      <c r="F160" t="s">
        <v>1259</v>
      </c>
      <c r="G160">
        <v>6260</v>
      </c>
      <c r="H160">
        <v>0</v>
      </c>
      <c r="I160">
        <v>57</v>
      </c>
      <c r="J160">
        <v>0</v>
      </c>
      <c r="K160">
        <v>0</v>
      </c>
      <c r="L160">
        <v>0</v>
      </c>
      <c r="M160">
        <v>3042741.8</v>
      </c>
      <c r="N160" s="4">
        <v>46267</v>
      </c>
      <c r="O160" t="s">
        <v>1812</v>
      </c>
      <c r="P160" t="s">
        <v>654</v>
      </c>
      <c r="S160" t="s">
        <v>1614</v>
      </c>
      <c r="T160" t="s">
        <v>1261</v>
      </c>
      <c r="U160" t="s">
        <v>1262</v>
      </c>
      <c r="V160">
        <v>765244</v>
      </c>
      <c r="W160" t="s">
        <v>1614</v>
      </c>
      <c r="X160" t="s">
        <v>1263</v>
      </c>
      <c r="Y160" t="s">
        <v>1813</v>
      </c>
      <c r="Z160" t="s">
        <v>1814</v>
      </c>
      <c r="AA160" s="5">
        <v>46267.692361111112</v>
      </c>
      <c r="AB160" t="s">
        <v>1266</v>
      </c>
      <c r="AC160" t="s">
        <v>1267</v>
      </c>
      <c r="AD160" t="s">
        <v>1268</v>
      </c>
      <c r="AE160" t="s">
        <v>1269</v>
      </c>
      <c r="AF160" t="s">
        <v>1270</v>
      </c>
    </row>
    <row r="161" spans="2:32" hidden="1" x14ac:dyDescent="0.25">
      <c r="B161">
        <v>395390</v>
      </c>
      <c r="C161" t="s">
        <v>1609</v>
      </c>
      <c r="D161" t="s">
        <v>1257</v>
      </c>
      <c r="E161" t="s">
        <v>1258</v>
      </c>
      <c r="F161" t="s">
        <v>1259</v>
      </c>
      <c r="G161">
        <v>76678</v>
      </c>
      <c r="H161">
        <v>0</v>
      </c>
      <c r="I161">
        <v>136</v>
      </c>
      <c r="J161">
        <v>0</v>
      </c>
      <c r="K161">
        <v>0</v>
      </c>
      <c r="L161">
        <v>0</v>
      </c>
      <c r="M161">
        <v>2963319.8</v>
      </c>
      <c r="N161" s="4">
        <v>46267</v>
      </c>
      <c r="O161" t="s">
        <v>1815</v>
      </c>
      <c r="Q161" t="s">
        <v>1816</v>
      </c>
      <c r="T161" t="s">
        <v>1261</v>
      </c>
      <c r="U161" t="s">
        <v>1262</v>
      </c>
      <c r="V161">
        <v>874950</v>
      </c>
      <c r="X161" t="s">
        <v>1263</v>
      </c>
      <c r="Y161" t="s">
        <v>1817</v>
      </c>
      <c r="Z161" t="s">
        <v>1818</v>
      </c>
      <c r="AA161" s="5">
        <v>46267.692361111112</v>
      </c>
      <c r="AB161" t="s">
        <v>1345</v>
      </c>
      <c r="AC161" t="s">
        <v>1267</v>
      </c>
      <c r="AD161" t="s">
        <v>1346</v>
      </c>
      <c r="AE161" t="s">
        <v>1347</v>
      </c>
      <c r="AF161" t="s">
        <v>1819</v>
      </c>
    </row>
    <row r="162" spans="2:32" x14ac:dyDescent="0.25">
      <c r="B162">
        <v>395390</v>
      </c>
      <c r="C162" t="s">
        <v>1609</v>
      </c>
      <c r="D162" t="s">
        <v>1257</v>
      </c>
      <c r="E162" t="s">
        <v>1258</v>
      </c>
      <c r="F162" t="s">
        <v>1259</v>
      </c>
      <c r="G162">
        <v>9771</v>
      </c>
      <c r="H162">
        <v>0</v>
      </c>
      <c r="I162">
        <v>63</v>
      </c>
      <c r="J162">
        <v>0</v>
      </c>
      <c r="K162">
        <v>0</v>
      </c>
      <c r="L162">
        <v>0</v>
      </c>
      <c r="M162">
        <v>2952482.8</v>
      </c>
      <c r="N162" s="4">
        <v>46267</v>
      </c>
      <c r="O162" t="s">
        <v>1820</v>
      </c>
      <c r="P162" t="s">
        <v>616</v>
      </c>
      <c r="S162" t="s">
        <v>1564</v>
      </c>
      <c r="T162" t="s">
        <v>1261</v>
      </c>
      <c r="U162" t="s">
        <v>1262</v>
      </c>
      <c r="V162">
        <v>852648</v>
      </c>
      <c r="W162" t="s">
        <v>1564</v>
      </c>
      <c r="X162" t="s">
        <v>1263</v>
      </c>
      <c r="Y162" t="s">
        <v>1821</v>
      </c>
      <c r="Z162" t="s">
        <v>1822</v>
      </c>
      <c r="AA162" s="5">
        <v>46267.692361111112</v>
      </c>
      <c r="AB162" t="s">
        <v>1266</v>
      </c>
      <c r="AC162" t="s">
        <v>1267</v>
      </c>
      <c r="AD162" t="s">
        <v>1268</v>
      </c>
      <c r="AE162" t="s">
        <v>1269</v>
      </c>
      <c r="AF162" t="s">
        <v>1270</v>
      </c>
    </row>
    <row r="163" spans="2:32" x14ac:dyDescent="0.25">
      <c r="B163">
        <v>395390</v>
      </c>
      <c r="C163" t="s">
        <v>1609</v>
      </c>
      <c r="D163" t="s">
        <v>1257</v>
      </c>
      <c r="E163" t="s">
        <v>1258</v>
      </c>
      <c r="F163" t="s">
        <v>1259</v>
      </c>
      <c r="G163">
        <v>4844</v>
      </c>
      <c r="H163">
        <v>0</v>
      </c>
      <c r="I163">
        <v>49</v>
      </c>
      <c r="J163">
        <v>0</v>
      </c>
      <c r="K163">
        <v>0</v>
      </c>
      <c r="L163">
        <v>0</v>
      </c>
      <c r="M163">
        <v>2947589.8</v>
      </c>
      <c r="N163" s="4">
        <v>46267</v>
      </c>
      <c r="O163" t="s">
        <v>1823</v>
      </c>
      <c r="P163" t="s">
        <v>633</v>
      </c>
      <c r="S163" t="s">
        <v>1614</v>
      </c>
      <c r="T163" t="s">
        <v>1261</v>
      </c>
      <c r="U163" t="s">
        <v>1262</v>
      </c>
      <c r="V163">
        <v>765244</v>
      </c>
      <c r="W163" t="s">
        <v>1614</v>
      </c>
      <c r="X163" t="s">
        <v>1263</v>
      </c>
      <c r="Y163" t="s">
        <v>1824</v>
      </c>
      <c r="Z163" t="s">
        <v>1825</v>
      </c>
      <c r="AA163" s="5">
        <v>46267.692361111112</v>
      </c>
      <c r="AB163" t="s">
        <v>1266</v>
      </c>
      <c r="AC163" t="s">
        <v>1267</v>
      </c>
      <c r="AD163" t="s">
        <v>1268</v>
      </c>
      <c r="AE163" t="s">
        <v>1269</v>
      </c>
      <c r="AF163" t="s">
        <v>1270</v>
      </c>
    </row>
    <row r="164" spans="2:32" x14ac:dyDescent="0.25">
      <c r="B164">
        <v>395390</v>
      </c>
      <c r="C164" t="s">
        <v>1609</v>
      </c>
      <c r="D164" t="s">
        <v>1257</v>
      </c>
      <c r="E164" t="s">
        <v>1258</v>
      </c>
      <c r="F164" t="s">
        <v>1259</v>
      </c>
      <c r="G164">
        <v>4780</v>
      </c>
      <c r="H164">
        <v>0</v>
      </c>
      <c r="I164">
        <v>49</v>
      </c>
      <c r="J164">
        <v>0</v>
      </c>
      <c r="K164">
        <v>0</v>
      </c>
      <c r="L164">
        <v>0</v>
      </c>
      <c r="M164">
        <v>2930269.8</v>
      </c>
      <c r="N164" s="4">
        <v>46267</v>
      </c>
      <c r="O164" t="s">
        <v>1826</v>
      </c>
      <c r="P164" t="s">
        <v>637</v>
      </c>
      <c r="S164" t="s">
        <v>1614</v>
      </c>
      <c r="T164" t="s">
        <v>1261</v>
      </c>
      <c r="U164" t="s">
        <v>1262</v>
      </c>
      <c r="V164">
        <v>765244</v>
      </c>
      <c r="W164" t="s">
        <v>1614</v>
      </c>
      <c r="X164" t="s">
        <v>1263</v>
      </c>
      <c r="Y164" t="s">
        <v>1827</v>
      </c>
      <c r="Z164" t="s">
        <v>1828</v>
      </c>
      <c r="AA164" s="5">
        <v>46267.692361111112</v>
      </c>
      <c r="AB164" t="s">
        <v>1266</v>
      </c>
      <c r="AC164" t="s">
        <v>1267</v>
      </c>
      <c r="AD164" t="s">
        <v>1268</v>
      </c>
      <c r="AE164" t="s">
        <v>1269</v>
      </c>
      <c r="AF164" t="s">
        <v>1270</v>
      </c>
    </row>
    <row r="165" spans="2:32" x14ac:dyDescent="0.25">
      <c r="B165">
        <v>395390</v>
      </c>
      <c r="C165" t="s">
        <v>1609</v>
      </c>
      <c r="D165" t="s">
        <v>1257</v>
      </c>
      <c r="E165" t="s">
        <v>1258</v>
      </c>
      <c r="F165" t="s">
        <v>1259</v>
      </c>
      <c r="G165">
        <v>5753</v>
      </c>
      <c r="H165">
        <v>0</v>
      </c>
      <c r="I165">
        <v>57</v>
      </c>
      <c r="J165">
        <v>0</v>
      </c>
      <c r="K165">
        <v>0</v>
      </c>
      <c r="L165">
        <v>0</v>
      </c>
      <c r="M165">
        <v>2924409.8</v>
      </c>
      <c r="N165" s="4">
        <v>46267</v>
      </c>
      <c r="O165" t="s">
        <v>1829</v>
      </c>
      <c r="P165" t="s">
        <v>624</v>
      </c>
      <c r="S165" t="s">
        <v>1614</v>
      </c>
      <c r="T165" t="s">
        <v>1261</v>
      </c>
      <c r="U165" t="s">
        <v>1262</v>
      </c>
      <c r="V165">
        <v>765244</v>
      </c>
      <c r="W165" t="s">
        <v>1614</v>
      </c>
      <c r="X165" t="s">
        <v>1263</v>
      </c>
      <c r="Y165" t="s">
        <v>1830</v>
      </c>
      <c r="Z165" t="s">
        <v>1831</v>
      </c>
      <c r="AA165" s="5">
        <v>46267.692361111112</v>
      </c>
      <c r="AB165" t="s">
        <v>1266</v>
      </c>
      <c r="AC165" t="s">
        <v>1267</v>
      </c>
      <c r="AD165" t="s">
        <v>1268</v>
      </c>
      <c r="AE165" t="s">
        <v>1269</v>
      </c>
      <c r="AF165" t="s">
        <v>1270</v>
      </c>
    </row>
    <row r="166" spans="2:32" x14ac:dyDescent="0.25">
      <c r="B166">
        <v>395390</v>
      </c>
      <c r="C166" t="s">
        <v>1609</v>
      </c>
      <c r="D166" t="s">
        <v>1257</v>
      </c>
      <c r="E166" t="s">
        <v>1258</v>
      </c>
      <c r="F166" t="s">
        <v>1259</v>
      </c>
      <c r="G166">
        <v>20836</v>
      </c>
      <c r="H166">
        <v>0</v>
      </c>
      <c r="I166">
        <v>87</v>
      </c>
      <c r="J166">
        <v>0</v>
      </c>
      <c r="K166">
        <v>0</v>
      </c>
      <c r="L166">
        <v>0</v>
      </c>
      <c r="M166">
        <v>2836189.8</v>
      </c>
      <c r="N166" s="4">
        <v>46267</v>
      </c>
      <c r="O166" t="s">
        <v>1832</v>
      </c>
      <c r="P166" t="s">
        <v>606</v>
      </c>
      <c r="S166" t="s">
        <v>1614</v>
      </c>
      <c r="T166" t="s">
        <v>1261</v>
      </c>
      <c r="U166" t="s">
        <v>1262</v>
      </c>
      <c r="V166">
        <v>765244</v>
      </c>
      <c r="W166" t="s">
        <v>1614</v>
      </c>
      <c r="X166" t="s">
        <v>1263</v>
      </c>
      <c r="Y166" t="s">
        <v>1833</v>
      </c>
      <c r="Z166" t="s">
        <v>1834</v>
      </c>
      <c r="AA166" s="5">
        <v>46267.692361111112</v>
      </c>
      <c r="AB166" t="s">
        <v>1266</v>
      </c>
      <c r="AC166" t="s">
        <v>1267</v>
      </c>
      <c r="AD166" t="s">
        <v>1268</v>
      </c>
      <c r="AE166" t="s">
        <v>1269</v>
      </c>
      <c r="AF166" t="s">
        <v>1270</v>
      </c>
    </row>
    <row r="167" spans="2:32" x14ac:dyDescent="0.25">
      <c r="B167">
        <v>395390</v>
      </c>
      <c r="C167" t="s">
        <v>1609</v>
      </c>
      <c r="D167" t="s">
        <v>1257</v>
      </c>
      <c r="E167" t="s">
        <v>1258</v>
      </c>
      <c r="F167" t="s">
        <v>1259</v>
      </c>
      <c r="G167">
        <v>13267</v>
      </c>
      <c r="H167">
        <v>0</v>
      </c>
      <c r="I167">
        <v>72</v>
      </c>
      <c r="J167">
        <v>0</v>
      </c>
      <c r="K167">
        <v>0</v>
      </c>
      <c r="L167">
        <v>0</v>
      </c>
      <c r="M167">
        <v>2822824.8</v>
      </c>
      <c r="N167" s="4">
        <v>46267</v>
      </c>
      <c r="O167" t="s">
        <v>1835</v>
      </c>
      <c r="P167" t="s">
        <v>574</v>
      </c>
      <c r="S167" t="s">
        <v>1614</v>
      </c>
      <c r="T167" t="s">
        <v>1261</v>
      </c>
      <c r="U167" t="s">
        <v>1262</v>
      </c>
      <c r="V167">
        <v>765244</v>
      </c>
      <c r="W167" t="s">
        <v>1614</v>
      </c>
      <c r="X167" t="s">
        <v>1263</v>
      </c>
      <c r="Y167" t="s">
        <v>1836</v>
      </c>
      <c r="Z167" t="s">
        <v>1837</v>
      </c>
      <c r="AA167" s="5">
        <v>46267.692361111112</v>
      </c>
      <c r="AB167" t="s">
        <v>1266</v>
      </c>
      <c r="AC167" t="s">
        <v>1267</v>
      </c>
      <c r="AD167" t="s">
        <v>1268</v>
      </c>
      <c r="AE167" t="s">
        <v>1269</v>
      </c>
      <c r="AF167" t="s">
        <v>1270</v>
      </c>
    </row>
    <row r="168" spans="2:32" x14ac:dyDescent="0.25">
      <c r="B168">
        <v>395390</v>
      </c>
      <c r="C168" t="s">
        <v>1609</v>
      </c>
      <c r="D168" t="s">
        <v>1257</v>
      </c>
      <c r="E168" t="s">
        <v>1258</v>
      </c>
      <c r="F168" t="s">
        <v>1259</v>
      </c>
      <c r="G168">
        <v>3561</v>
      </c>
      <c r="H168">
        <v>0</v>
      </c>
      <c r="I168">
        <v>49</v>
      </c>
      <c r="J168">
        <v>0</v>
      </c>
      <c r="K168">
        <v>0</v>
      </c>
      <c r="L168">
        <v>0</v>
      </c>
      <c r="M168">
        <v>2815330.8</v>
      </c>
      <c r="N168" s="4">
        <v>46267</v>
      </c>
      <c r="O168" t="s">
        <v>1838</v>
      </c>
      <c r="P168" t="s">
        <v>630</v>
      </c>
      <c r="S168" t="s">
        <v>1614</v>
      </c>
      <c r="T168" t="s">
        <v>1261</v>
      </c>
      <c r="U168" t="s">
        <v>1262</v>
      </c>
      <c r="V168">
        <v>765244</v>
      </c>
      <c r="W168" t="s">
        <v>1614</v>
      </c>
      <c r="X168" t="s">
        <v>1263</v>
      </c>
      <c r="Y168" t="s">
        <v>1839</v>
      </c>
      <c r="Z168" t="s">
        <v>1840</v>
      </c>
      <c r="AA168" s="5">
        <v>46267.692361111112</v>
      </c>
      <c r="AB168" t="s">
        <v>1266</v>
      </c>
      <c r="AC168" t="s">
        <v>1267</v>
      </c>
      <c r="AD168" t="s">
        <v>1268</v>
      </c>
      <c r="AE168" t="s">
        <v>1269</v>
      </c>
      <c r="AF168" t="s">
        <v>1270</v>
      </c>
    </row>
    <row r="169" spans="2:32" x14ac:dyDescent="0.25">
      <c r="B169">
        <v>395390</v>
      </c>
      <c r="C169" t="s">
        <v>1609</v>
      </c>
      <c r="D169" t="s">
        <v>1257</v>
      </c>
      <c r="E169" t="s">
        <v>1258</v>
      </c>
      <c r="F169" t="s">
        <v>1259</v>
      </c>
      <c r="G169">
        <v>1833</v>
      </c>
      <c r="H169">
        <v>0</v>
      </c>
      <c r="I169">
        <v>35</v>
      </c>
      <c r="J169">
        <v>0</v>
      </c>
      <c r="K169">
        <v>0</v>
      </c>
      <c r="L169">
        <v>0</v>
      </c>
      <c r="M169">
        <v>2813462.8</v>
      </c>
      <c r="N169" s="4">
        <v>46267</v>
      </c>
      <c r="O169" t="s">
        <v>1841</v>
      </c>
      <c r="P169" t="s">
        <v>627</v>
      </c>
      <c r="S169" t="s">
        <v>1614</v>
      </c>
      <c r="T169" t="s">
        <v>1261</v>
      </c>
      <c r="U169" t="s">
        <v>1262</v>
      </c>
      <c r="V169">
        <v>765244</v>
      </c>
      <c r="W169" t="s">
        <v>1614</v>
      </c>
      <c r="X169" t="s">
        <v>1263</v>
      </c>
      <c r="Y169" t="s">
        <v>1842</v>
      </c>
      <c r="Z169" t="s">
        <v>1843</v>
      </c>
      <c r="AA169" s="5">
        <v>46267.692361111112</v>
      </c>
      <c r="AB169" t="s">
        <v>1266</v>
      </c>
      <c r="AC169" t="s">
        <v>1267</v>
      </c>
      <c r="AD169" t="s">
        <v>1268</v>
      </c>
      <c r="AE169" t="s">
        <v>1269</v>
      </c>
      <c r="AF169" t="s">
        <v>1270</v>
      </c>
    </row>
    <row r="170" spans="2:32" x14ac:dyDescent="0.25">
      <c r="B170">
        <v>395390</v>
      </c>
      <c r="C170" t="s">
        <v>1609</v>
      </c>
      <c r="D170" t="s">
        <v>1257</v>
      </c>
      <c r="E170" t="s">
        <v>1258</v>
      </c>
      <c r="F170" t="s">
        <v>1259</v>
      </c>
      <c r="G170">
        <v>22690</v>
      </c>
      <c r="H170">
        <v>0</v>
      </c>
      <c r="I170">
        <v>87</v>
      </c>
      <c r="J170">
        <v>0</v>
      </c>
      <c r="K170">
        <v>0</v>
      </c>
      <c r="L170">
        <v>0</v>
      </c>
      <c r="M170">
        <v>2790685.8</v>
      </c>
      <c r="N170" s="4">
        <v>46267</v>
      </c>
      <c r="O170" t="s">
        <v>1844</v>
      </c>
      <c r="P170" t="s">
        <v>595</v>
      </c>
      <c r="S170" t="s">
        <v>1564</v>
      </c>
      <c r="T170" t="s">
        <v>1261</v>
      </c>
      <c r="U170" t="s">
        <v>1262</v>
      </c>
      <c r="V170">
        <v>852648</v>
      </c>
      <c r="W170" t="s">
        <v>1564</v>
      </c>
      <c r="X170" t="s">
        <v>1263</v>
      </c>
      <c r="Y170" t="s">
        <v>1845</v>
      </c>
      <c r="Z170" t="s">
        <v>1846</v>
      </c>
      <c r="AA170" s="5">
        <v>46267.692361111112</v>
      </c>
      <c r="AB170" t="s">
        <v>1266</v>
      </c>
      <c r="AC170" t="s">
        <v>1267</v>
      </c>
      <c r="AD170" t="s">
        <v>1268</v>
      </c>
      <c r="AE170" t="s">
        <v>1269</v>
      </c>
      <c r="AF170" t="s">
        <v>1270</v>
      </c>
    </row>
    <row r="171" spans="2:32" x14ac:dyDescent="0.25">
      <c r="B171">
        <v>395390</v>
      </c>
      <c r="C171" t="s">
        <v>1609</v>
      </c>
      <c r="D171" t="s">
        <v>1257</v>
      </c>
      <c r="E171" t="s">
        <v>1258</v>
      </c>
      <c r="F171" t="s">
        <v>1259</v>
      </c>
      <c r="G171">
        <v>13809</v>
      </c>
      <c r="H171">
        <v>0</v>
      </c>
      <c r="I171">
        <v>72</v>
      </c>
      <c r="J171">
        <v>0</v>
      </c>
      <c r="K171">
        <v>0</v>
      </c>
      <c r="L171">
        <v>0</v>
      </c>
      <c r="M171">
        <v>2776804.8</v>
      </c>
      <c r="N171" s="4">
        <v>46267</v>
      </c>
      <c r="O171" t="s">
        <v>1847</v>
      </c>
      <c r="P171" t="s">
        <v>621</v>
      </c>
      <c r="S171" t="s">
        <v>1614</v>
      </c>
      <c r="T171" t="s">
        <v>1261</v>
      </c>
      <c r="U171" t="s">
        <v>1262</v>
      </c>
      <c r="V171">
        <v>765244</v>
      </c>
      <c r="W171" t="s">
        <v>1614</v>
      </c>
      <c r="X171" t="s">
        <v>1263</v>
      </c>
      <c r="Y171" t="s">
        <v>1848</v>
      </c>
      <c r="Z171" t="s">
        <v>1849</v>
      </c>
      <c r="AA171" s="5">
        <v>46267.692361111112</v>
      </c>
      <c r="AB171" t="s">
        <v>1266</v>
      </c>
      <c r="AC171" t="s">
        <v>1267</v>
      </c>
      <c r="AD171" t="s">
        <v>1268</v>
      </c>
      <c r="AE171" t="s">
        <v>1269</v>
      </c>
      <c r="AF171" t="s">
        <v>1270</v>
      </c>
    </row>
    <row r="172" spans="2:32" x14ac:dyDescent="0.25">
      <c r="B172">
        <v>395390</v>
      </c>
      <c r="C172" t="s">
        <v>1609</v>
      </c>
      <c r="D172" t="s">
        <v>1257</v>
      </c>
      <c r="E172" t="s">
        <v>1258</v>
      </c>
      <c r="F172" t="s">
        <v>1259</v>
      </c>
      <c r="G172">
        <v>11749</v>
      </c>
      <c r="H172">
        <v>0</v>
      </c>
      <c r="I172">
        <v>72</v>
      </c>
      <c r="J172">
        <v>0</v>
      </c>
      <c r="K172">
        <v>0</v>
      </c>
      <c r="L172">
        <v>0</v>
      </c>
      <c r="M172">
        <v>2764983.8</v>
      </c>
      <c r="N172" s="4">
        <v>46267</v>
      </c>
      <c r="O172" t="s">
        <v>1850</v>
      </c>
      <c r="P172" t="s">
        <v>514</v>
      </c>
      <c r="S172" t="s">
        <v>1564</v>
      </c>
      <c r="T172" t="s">
        <v>1261</v>
      </c>
      <c r="U172" t="s">
        <v>1262</v>
      </c>
      <c r="V172">
        <v>852648</v>
      </c>
      <c r="W172" t="s">
        <v>1564</v>
      </c>
      <c r="X172" t="s">
        <v>1263</v>
      </c>
      <c r="Y172" t="s">
        <v>1851</v>
      </c>
      <c r="Z172" t="s">
        <v>1852</v>
      </c>
      <c r="AA172" s="5">
        <v>46267.692361111112</v>
      </c>
      <c r="AB172" t="s">
        <v>1266</v>
      </c>
      <c r="AC172" t="s">
        <v>1267</v>
      </c>
      <c r="AD172" t="s">
        <v>1268</v>
      </c>
      <c r="AE172" t="s">
        <v>1269</v>
      </c>
      <c r="AF172" t="s">
        <v>1270</v>
      </c>
    </row>
    <row r="173" spans="2:32" x14ac:dyDescent="0.25">
      <c r="B173">
        <v>395390</v>
      </c>
      <c r="C173" t="s">
        <v>1609</v>
      </c>
      <c r="D173" t="s">
        <v>1257</v>
      </c>
      <c r="E173" t="s">
        <v>1258</v>
      </c>
      <c r="F173" t="s">
        <v>1259</v>
      </c>
      <c r="G173">
        <v>8096</v>
      </c>
      <c r="H173">
        <v>0</v>
      </c>
      <c r="I173">
        <v>63</v>
      </c>
      <c r="J173">
        <v>0</v>
      </c>
      <c r="K173">
        <v>0</v>
      </c>
      <c r="L173">
        <v>0</v>
      </c>
      <c r="M173">
        <v>2739741.8</v>
      </c>
      <c r="N173" s="4">
        <v>46267</v>
      </c>
      <c r="O173" t="s">
        <v>1853</v>
      </c>
      <c r="P173" t="s">
        <v>603</v>
      </c>
      <c r="S173" t="s">
        <v>1614</v>
      </c>
      <c r="T173" t="s">
        <v>1261</v>
      </c>
      <c r="U173" t="s">
        <v>1262</v>
      </c>
      <c r="V173">
        <v>765244</v>
      </c>
      <c r="W173" t="s">
        <v>1614</v>
      </c>
      <c r="X173" t="s">
        <v>1263</v>
      </c>
      <c r="Y173" t="s">
        <v>1854</v>
      </c>
      <c r="Z173" t="s">
        <v>1855</v>
      </c>
      <c r="AA173" s="5">
        <v>46267.692361111112</v>
      </c>
      <c r="AB173" t="s">
        <v>1266</v>
      </c>
      <c r="AC173" t="s">
        <v>1267</v>
      </c>
      <c r="AD173" t="s">
        <v>1268</v>
      </c>
      <c r="AE173" t="s">
        <v>1269</v>
      </c>
      <c r="AF173" t="s">
        <v>1270</v>
      </c>
    </row>
    <row r="174" spans="2:32" x14ac:dyDescent="0.25">
      <c r="B174">
        <v>395390</v>
      </c>
      <c r="C174" t="s">
        <v>1609</v>
      </c>
      <c r="D174" t="s">
        <v>1257</v>
      </c>
      <c r="E174" t="s">
        <v>1258</v>
      </c>
      <c r="F174" t="s">
        <v>1259</v>
      </c>
      <c r="G174">
        <v>1186</v>
      </c>
      <c r="H174">
        <v>0</v>
      </c>
      <c r="I174">
        <v>25</v>
      </c>
      <c r="J174">
        <v>0</v>
      </c>
      <c r="K174">
        <v>0</v>
      </c>
      <c r="L174">
        <v>0</v>
      </c>
      <c r="M174">
        <v>2738530.8</v>
      </c>
      <c r="N174" s="4">
        <v>46267</v>
      </c>
      <c r="O174" t="s">
        <v>1856</v>
      </c>
      <c r="P174" t="s">
        <v>577</v>
      </c>
      <c r="S174" t="s">
        <v>1564</v>
      </c>
      <c r="T174" t="s">
        <v>1261</v>
      </c>
      <c r="U174" t="s">
        <v>1262</v>
      </c>
      <c r="V174">
        <v>852648</v>
      </c>
      <c r="W174" t="s">
        <v>1564</v>
      </c>
      <c r="X174" t="s">
        <v>1263</v>
      </c>
      <c r="Y174" t="s">
        <v>1857</v>
      </c>
      <c r="Z174" t="s">
        <v>1858</v>
      </c>
      <c r="AA174" s="5">
        <v>46267.692361111112</v>
      </c>
      <c r="AB174" t="s">
        <v>1266</v>
      </c>
      <c r="AC174" t="s">
        <v>1267</v>
      </c>
      <c r="AD174" t="s">
        <v>1268</v>
      </c>
      <c r="AE174" t="s">
        <v>1269</v>
      </c>
      <c r="AF174" t="s">
        <v>1270</v>
      </c>
    </row>
    <row r="175" spans="2:32" x14ac:dyDescent="0.25">
      <c r="B175">
        <v>395390</v>
      </c>
      <c r="C175" t="s">
        <v>1609</v>
      </c>
      <c r="D175" t="s">
        <v>1257</v>
      </c>
      <c r="E175" t="s">
        <v>1258</v>
      </c>
      <c r="F175" t="s">
        <v>1259</v>
      </c>
      <c r="G175">
        <v>5758</v>
      </c>
      <c r="H175">
        <v>0</v>
      </c>
      <c r="I175">
        <v>57</v>
      </c>
      <c r="J175">
        <v>0</v>
      </c>
      <c r="K175">
        <v>0</v>
      </c>
      <c r="L175">
        <v>0</v>
      </c>
      <c r="M175">
        <v>2732615.8</v>
      </c>
      <c r="N175" s="4">
        <v>46267</v>
      </c>
      <c r="O175" t="s">
        <v>1859</v>
      </c>
      <c r="P175" t="s">
        <v>609</v>
      </c>
      <c r="S175" t="s">
        <v>1627</v>
      </c>
      <c r="T175" t="s">
        <v>1261</v>
      </c>
      <c r="U175" t="s">
        <v>1262</v>
      </c>
      <c r="V175">
        <v>350050</v>
      </c>
      <c r="W175" t="s">
        <v>1627</v>
      </c>
      <c r="X175" t="s">
        <v>1263</v>
      </c>
      <c r="Y175" t="s">
        <v>1860</v>
      </c>
      <c r="Z175" t="s">
        <v>1861</v>
      </c>
      <c r="AA175" s="5">
        <v>46267.692361111112</v>
      </c>
      <c r="AB175" t="s">
        <v>1266</v>
      </c>
      <c r="AC175" t="s">
        <v>1267</v>
      </c>
      <c r="AD175" t="s">
        <v>1268</v>
      </c>
      <c r="AE175" t="s">
        <v>1269</v>
      </c>
      <c r="AF175" t="s">
        <v>1270</v>
      </c>
    </row>
    <row r="176" spans="2:32" x14ac:dyDescent="0.25">
      <c r="B176">
        <v>395390</v>
      </c>
      <c r="C176" t="s">
        <v>1609</v>
      </c>
      <c r="D176" t="s">
        <v>1257</v>
      </c>
      <c r="E176" t="s">
        <v>1258</v>
      </c>
      <c r="F176" t="s">
        <v>1259</v>
      </c>
      <c r="G176">
        <v>15040</v>
      </c>
      <c r="H176">
        <v>0</v>
      </c>
      <c r="I176">
        <v>82</v>
      </c>
      <c r="J176">
        <v>0</v>
      </c>
      <c r="K176">
        <v>0</v>
      </c>
      <c r="L176">
        <v>0</v>
      </c>
      <c r="M176">
        <v>2710731.8</v>
      </c>
      <c r="N176" s="4">
        <v>46267</v>
      </c>
      <c r="O176" t="s">
        <v>1862</v>
      </c>
      <c r="P176" t="s">
        <v>613</v>
      </c>
      <c r="S176" t="s">
        <v>1614</v>
      </c>
      <c r="T176" t="s">
        <v>1261</v>
      </c>
      <c r="U176" t="s">
        <v>1262</v>
      </c>
      <c r="V176">
        <v>765244</v>
      </c>
      <c r="W176" t="s">
        <v>1614</v>
      </c>
      <c r="X176" t="s">
        <v>1263</v>
      </c>
      <c r="Y176" t="s">
        <v>1863</v>
      </c>
      <c r="Z176" t="s">
        <v>1864</v>
      </c>
      <c r="AA176" s="5">
        <v>46267.692361111112</v>
      </c>
      <c r="AB176" t="s">
        <v>1266</v>
      </c>
      <c r="AC176" t="s">
        <v>1267</v>
      </c>
      <c r="AD176" t="s">
        <v>1268</v>
      </c>
      <c r="AE176" t="s">
        <v>1269</v>
      </c>
      <c r="AF176" t="s">
        <v>1270</v>
      </c>
    </row>
    <row r="177" spans="2:32" x14ac:dyDescent="0.25">
      <c r="B177">
        <v>395390</v>
      </c>
      <c r="C177" t="s">
        <v>1609</v>
      </c>
      <c r="D177" t="s">
        <v>1257</v>
      </c>
      <c r="E177" t="s">
        <v>1258</v>
      </c>
      <c r="F177" t="s">
        <v>1259</v>
      </c>
      <c r="G177">
        <v>7603</v>
      </c>
      <c r="H177">
        <v>0</v>
      </c>
      <c r="I177">
        <v>63</v>
      </c>
      <c r="J177">
        <v>0</v>
      </c>
      <c r="K177">
        <v>0</v>
      </c>
      <c r="L177">
        <v>0</v>
      </c>
      <c r="M177">
        <v>2703065.8</v>
      </c>
      <c r="N177" s="4">
        <v>46267</v>
      </c>
      <c r="O177" t="s">
        <v>1865</v>
      </c>
      <c r="P177" t="s">
        <v>599</v>
      </c>
      <c r="S177" t="s">
        <v>1627</v>
      </c>
      <c r="T177" t="s">
        <v>1261</v>
      </c>
      <c r="U177" t="s">
        <v>1262</v>
      </c>
      <c r="V177">
        <v>350050</v>
      </c>
      <c r="W177" t="s">
        <v>1627</v>
      </c>
      <c r="X177" t="s">
        <v>1263</v>
      </c>
      <c r="Y177" t="s">
        <v>1866</v>
      </c>
      <c r="Z177" t="s">
        <v>1867</v>
      </c>
      <c r="AA177" s="5">
        <v>46267.692361111112</v>
      </c>
      <c r="AB177" t="s">
        <v>1266</v>
      </c>
      <c r="AC177" t="s">
        <v>1267</v>
      </c>
      <c r="AD177" t="s">
        <v>1268</v>
      </c>
      <c r="AE177" t="s">
        <v>1269</v>
      </c>
      <c r="AF177" t="s">
        <v>1270</v>
      </c>
    </row>
    <row r="178" spans="2:32" x14ac:dyDescent="0.25">
      <c r="B178">
        <v>395390</v>
      </c>
      <c r="C178" t="s">
        <v>1609</v>
      </c>
      <c r="D178" t="s">
        <v>1257</v>
      </c>
      <c r="E178" t="s">
        <v>1258</v>
      </c>
      <c r="F178" t="s">
        <v>1259</v>
      </c>
      <c r="G178">
        <v>23539</v>
      </c>
      <c r="H178">
        <v>0</v>
      </c>
      <c r="I178">
        <v>87</v>
      </c>
      <c r="J178">
        <v>0</v>
      </c>
      <c r="K178">
        <v>0</v>
      </c>
      <c r="L178">
        <v>0</v>
      </c>
      <c r="M178">
        <v>2679439.7999999998</v>
      </c>
      <c r="N178" s="4">
        <v>46267</v>
      </c>
      <c r="O178" t="s">
        <v>1868</v>
      </c>
      <c r="P178" t="s">
        <v>536</v>
      </c>
      <c r="S178" t="s">
        <v>1564</v>
      </c>
      <c r="T178" t="s">
        <v>1261</v>
      </c>
      <c r="U178" t="s">
        <v>1262</v>
      </c>
      <c r="V178">
        <v>852648</v>
      </c>
      <c r="W178" t="s">
        <v>1564</v>
      </c>
      <c r="X178" t="s">
        <v>1263</v>
      </c>
      <c r="Y178" t="s">
        <v>1869</v>
      </c>
      <c r="Z178" t="s">
        <v>1870</v>
      </c>
      <c r="AA178" s="5">
        <v>46267.692361111112</v>
      </c>
      <c r="AB178" t="s">
        <v>1266</v>
      </c>
      <c r="AC178" t="s">
        <v>1267</v>
      </c>
      <c r="AD178" t="s">
        <v>1268</v>
      </c>
      <c r="AE178" t="s">
        <v>1269</v>
      </c>
      <c r="AF178" t="s">
        <v>1270</v>
      </c>
    </row>
    <row r="179" spans="2:32" x14ac:dyDescent="0.25">
      <c r="B179">
        <v>395390</v>
      </c>
      <c r="C179" t="s">
        <v>1609</v>
      </c>
      <c r="D179" t="s">
        <v>1257</v>
      </c>
      <c r="E179" t="s">
        <v>1258</v>
      </c>
      <c r="F179" t="s">
        <v>1259</v>
      </c>
      <c r="G179">
        <v>15544</v>
      </c>
      <c r="H179">
        <v>0</v>
      </c>
      <c r="I179">
        <v>82</v>
      </c>
      <c r="J179">
        <v>0</v>
      </c>
      <c r="K179">
        <v>0</v>
      </c>
      <c r="L179">
        <v>0</v>
      </c>
      <c r="M179">
        <v>2663813.7999999998</v>
      </c>
      <c r="N179" s="4">
        <v>46267</v>
      </c>
      <c r="O179" t="s">
        <v>1871</v>
      </c>
      <c r="P179" t="s">
        <v>584</v>
      </c>
      <c r="S179" t="s">
        <v>1614</v>
      </c>
      <c r="T179" t="s">
        <v>1261</v>
      </c>
      <c r="U179" t="s">
        <v>1262</v>
      </c>
      <c r="V179">
        <v>765244</v>
      </c>
      <c r="W179" t="s">
        <v>1614</v>
      </c>
      <c r="X179" t="s">
        <v>1263</v>
      </c>
      <c r="Y179" t="s">
        <v>1872</v>
      </c>
      <c r="Z179" t="s">
        <v>1873</v>
      </c>
      <c r="AA179" s="5">
        <v>46267.692361111112</v>
      </c>
      <c r="AB179" t="s">
        <v>1266</v>
      </c>
      <c r="AC179" t="s">
        <v>1267</v>
      </c>
      <c r="AD179" t="s">
        <v>1268</v>
      </c>
      <c r="AE179" t="s">
        <v>1269</v>
      </c>
      <c r="AF179" t="s">
        <v>1270</v>
      </c>
    </row>
    <row r="180" spans="2:32" x14ac:dyDescent="0.25">
      <c r="B180">
        <v>395390</v>
      </c>
      <c r="C180" t="s">
        <v>1609</v>
      </c>
      <c r="D180" t="s">
        <v>1257</v>
      </c>
      <c r="E180" t="s">
        <v>1258</v>
      </c>
      <c r="F180" t="s">
        <v>1259</v>
      </c>
      <c r="G180">
        <v>14782</v>
      </c>
      <c r="H180">
        <v>0</v>
      </c>
      <c r="I180">
        <v>72</v>
      </c>
      <c r="J180">
        <v>0</v>
      </c>
      <c r="K180">
        <v>0</v>
      </c>
      <c r="L180">
        <v>0</v>
      </c>
      <c r="M180">
        <v>2610872.7999999998</v>
      </c>
      <c r="N180" s="4">
        <v>46267</v>
      </c>
      <c r="O180" t="s">
        <v>1874</v>
      </c>
      <c r="P180" t="s">
        <v>525</v>
      </c>
      <c r="S180" t="s">
        <v>1614</v>
      </c>
      <c r="T180" t="s">
        <v>1261</v>
      </c>
      <c r="U180" t="s">
        <v>1262</v>
      </c>
      <c r="V180">
        <v>765244</v>
      </c>
      <c r="W180" t="s">
        <v>1614</v>
      </c>
      <c r="X180" t="s">
        <v>1263</v>
      </c>
      <c r="Y180" t="s">
        <v>1875</v>
      </c>
      <c r="Z180" t="s">
        <v>1876</v>
      </c>
      <c r="AA180" s="5">
        <v>46267.692361111112</v>
      </c>
      <c r="AB180" t="s">
        <v>1266</v>
      </c>
      <c r="AC180" t="s">
        <v>1267</v>
      </c>
      <c r="AD180" t="s">
        <v>1268</v>
      </c>
      <c r="AE180" t="s">
        <v>1269</v>
      </c>
      <c r="AF180" t="s">
        <v>1270</v>
      </c>
    </row>
    <row r="181" spans="2:32" x14ac:dyDescent="0.25">
      <c r="B181">
        <v>395390</v>
      </c>
      <c r="C181" t="s">
        <v>1609</v>
      </c>
      <c r="D181" t="s">
        <v>1257</v>
      </c>
      <c r="E181" t="s">
        <v>1258</v>
      </c>
      <c r="F181" t="s">
        <v>1259</v>
      </c>
      <c r="G181">
        <v>10409</v>
      </c>
      <c r="H181">
        <v>0</v>
      </c>
      <c r="I181">
        <v>72</v>
      </c>
      <c r="J181">
        <v>0</v>
      </c>
      <c r="K181">
        <v>0</v>
      </c>
      <c r="L181">
        <v>0</v>
      </c>
      <c r="M181">
        <v>2580034.7999999998</v>
      </c>
      <c r="N181" s="4">
        <v>46267</v>
      </c>
      <c r="O181" t="s">
        <v>1877</v>
      </c>
      <c r="P181" t="s">
        <v>593</v>
      </c>
      <c r="S181" t="s">
        <v>1614</v>
      </c>
      <c r="T181" t="s">
        <v>1261</v>
      </c>
      <c r="U181" t="s">
        <v>1262</v>
      </c>
      <c r="V181">
        <v>765244</v>
      </c>
      <c r="W181" t="s">
        <v>1614</v>
      </c>
      <c r="X181" t="s">
        <v>1263</v>
      </c>
      <c r="Y181" t="s">
        <v>1878</v>
      </c>
      <c r="Z181" t="s">
        <v>1879</v>
      </c>
      <c r="AA181" s="5">
        <v>46267.692361111112</v>
      </c>
      <c r="AB181" t="s">
        <v>1266</v>
      </c>
      <c r="AC181" t="s">
        <v>1267</v>
      </c>
      <c r="AD181" t="s">
        <v>1268</v>
      </c>
      <c r="AE181" t="s">
        <v>1269</v>
      </c>
      <c r="AF181" t="s">
        <v>1270</v>
      </c>
    </row>
    <row r="182" spans="2:32" x14ac:dyDescent="0.25">
      <c r="B182">
        <v>395390</v>
      </c>
      <c r="C182" t="s">
        <v>1609</v>
      </c>
      <c r="D182" t="s">
        <v>1257</v>
      </c>
      <c r="E182" t="s">
        <v>1258</v>
      </c>
      <c r="F182" t="s">
        <v>1259</v>
      </c>
      <c r="G182">
        <v>11811</v>
      </c>
      <c r="H182">
        <v>0</v>
      </c>
      <c r="I182">
        <v>72</v>
      </c>
      <c r="J182">
        <v>0</v>
      </c>
      <c r="K182">
        <v>0</v>
      </c>
      <c r="L182">
        <v>0</v>
      </c>
      <c r="M182">
        <v>2565467.7999999998</v>
      </c>
      <c r="N182" s="4">
        <v>46267</v>
      </c>
      <c r="O182" t="s">
        <v>1880</v>
      </c>
      <c r="P182" t="s">
        <v>516</v>
      </c>
      <c r="S182" t="s">
        <v>1614</v>
      </c>
      <c r="T182" t="s">
        <v>1261</v>
      </c>
      <c r="U182" t="s">
        <v>1262</v>
      </c>
      <c r="V182">
        <v>765244</v>
      </c>
      <c r="W182" t="s">
        <v>1614</v>
      </c>
      <c r="X182" t="s">
        <v>1263</v>
      </c>
      <c r="Y182" t="s">
        <v>1881</v>
      </c>
      <c r="Z182" t="s">
        <v>1882</v>
      </c>
      <c r="AA182" s="5">
        <v>46267.692361111112</v>
      </c>
      <c r="AB182" t="s">
        <v>1266</v>
      </c>
      <c r="AC182" t="s">
        <v>1267</v>
      </c>
      <c r="AD182" t="s">
        <v>1268</v>
      </c>
      <c r="AE182" t="s">
        <v>1269</v>
      </c>
      <c r="AF182" t="s">
        <v>1270</v>
      </c>
    </row>
    <row r="183" spans="2:32" x14ac:dyDescent="0.25">
      <c r="B183">
        <v>395390</v>
      </c>
      <c r="C183" t="s">
        <v>1609</v>
      </c>
      <c r="D183" t="s">
        <v>1257</v>
      </c>
      <c r="E183" t="s">
        <v>1258</v>
      </c>
      <c r="F183" t="s">
        <v>1259</v>
      </c>
      <c r="G183">
        <v>10699</v>
      </c>
      <c r="H183">
        <v>0</v>
      </c>
      <c r="I183">
        <v>72</v>
      </c>
      <c r="J183">
        <v>0</v>
      </c>
      <c r="K183">
        <v>0</v>
      </c>
      <c r="L183">
        <v>0</v>
      </c>
      <c r="M183">
        <v>2553082.7999999998</v>
      </c>
      <c r="N183" s="4">
        <v>46267</v>
      </c>
      <c r="O183" t="s">
        <v>1883</v>
      </c>
      <c r="P183" t="s">
        <v>552</v>
      </c>
      <c r="S183" t="s">
        <v>1614</v>
      </c>
      <c r="T183" t="s">
        <v>1261</v>
      </c>
      <c r="U183" t="s">
        <v>1262</v>
      </c>
      <c r="V183">
        <v>765244</v>
      </c>
      <c r="W183" t="s">
        <v>1614</v>
      </c>
      <c r="X183" t="s">
        <v>1263</v>
      </c>
      <c r="Y183" t="s">
        <v>1884</v>
      </c>
      <c r="Z183" t="s">
        <v>1885</v>
      </c>
      <c r="AA183" s="5">
        <v>46267.692361111112</v>
      </c>
      <c r="AB183" t="s">
        <v>1266</v>
      </c>
      <c r="AC183" t="s">
        <v>1267</v>
      </c>
      <c r="AD183" t="s">
        <v>1268</v>
      </c>
      <c r="AE183" t="s">
        <v>1269</v>
      </c>
      <c r="AF183" t="s">
        <v>1270</v>
      </c>
    </row>
    <row r="184" spans="2:32" x14ac:dyDescent="0.25">
      <c r="B184">
        <v>395390</v>
      </c>
      <c r="C184" t="s">
        <v>1609</v>
      </c>
      <c r="D184" t="s">
        <v>1257</v>
      </c>
      <c r="E184" t="s">
        <v>1258</v>
      </c>
      <c r="F184" t="s">
        <v>1259</v>
      </c>
      <c r="G184">
        <v>5391</v>
      </c>
      <c r="H184">
        <v>0</v>
      </c>
      <c r="I184">
        <v>57</v>
      </c>
      <c r="J184">
        <v>0</v>
      </c>
      <c r="K184">
        <v>0</v>
      </c>
      <c r="L184">
        <v>0</v>
      </c>
      <c r="M184">
        <v>2547634.7999999998</v>
      </c>
      <c r="N184" s="4">
        <v>46267</v>
      </c>
      <c r="O184" t="s">
        <v>1886</v>
      </c>
      <c r="P184" t="s">
        <v>581</v>
      </c>
      <c r="S184" t="s">
        <v>1614</v>
      </c>
      <c r="T184" t="s">
        <v>1261</v>
      </c>
      <c r="U184" t="s">
        <v>1262</v>
      </c>
      <c r="V184">
        <v>765244</v>
      </c>
      <c r="W184" t="s">
        <v>1614</v>
      </c>
      <c r="X184" t="s">
        <v>1263</v>
      </c>
      <c r="Y184" t="s">
        <v>1887</v>
      </c>
      <c r="Z184" t="s">
        <v>1888</v>
      </c>
      <c r="AA184" s="5">
        <v>46267.692361111112</v>
      </c>
      <c r="AB184" t="s">
        <v>1266</v>
      </c>
      <c r="AC184" t="s">
        <v>1267</v>
      </c>
      <c r="AD184" t="s">
        <v>1268</v>
      </c>
      <c r="AE184" t="s">
        <v>1269</v>
      </c>
      <c r="AF184" t="s">
        <v>1270</v>
      </c>
    </row>
    <row r="185" spans="2:32" x14ac:dyDescent="0.25">
      <c r="B185">
        <v>395390</v>
      </c>
      <c r="C185" t="s">
        <v>1609</v>
      </c>
      <c r="D185" t="s">
        <v>1257</v>
      </c>
      <c r="E185" t="s">
        <v>1258</v>
      </c>
      <c r="F185" t="s">
        <v>1259</v>
      </c>
      <c r="G185">
        <v>3860</v>
      </c>
      <c r="H185">
        <v>0</v>
      </c>
      <c r="I185">
        <v>49</v>
      </c>
      <c r="J185">
        <v>0</v>
      </c>
      <c r="K185">
        <v>0</v>
      </c>
      <c r="L185">
        <v>0</v>
      </c>
      <c r="M185">
        <v>2538757.7999999998</v>
      </c>
      <c r="N185" s="4">
        <v>46267</v>
      </c>
      <c r="O185" t="s">
        <v>1889</v>
      </c>
      <c r="P185" t="s">
        <v>565</v>
      </c>
      <c r="S185" t="s">
        <v>1614</v>
      </c>
      <c r="T185" t="s">
        <v>1261</v>
      </c>
      <c r="U185" t="s">
        <v>1262</v>
      </c>
      <c r="V185">
        <v>765244</v>
      </c>
      <c r="W185" t="s">
        <v>1614</v>
      </c>
      <c r="X185" t="s">
        <v>1263</v>
      </c>
      <c r="Y185" t="s">
        <v>1890</v>
      </c>
      <c r="Z185" t="s">
        <v>1891</v>
      </c>
      <c r="AA185" s="5">
        <v>46267.692361111112</v>
      </c>
      <c r="AB185" t="s">
        <v>1266</v>
      </c>
      <c r="AC185" t="s">
        <v>1267</v>
      </c>
      <c r="AD185" t="s">
        <v>1268</v>
      </c>
      <c r="AE185" t="s">
        <v>1269</v>
      </c>
      <c r="AF185" t="s">
        <v>1270</v>
      </c>
    </row>
    <row r="186" spans="2:32" x14ac:dyDescent="0.25">
      <c r="B186">
        <v>395390</v>
      </c>
      <c r="C186" t="s">
        <v>1609</v>
      </c>
      <c r="D186" t="s">
        <v>1257</v>
      </c>
      <c r="E186" t="s">
        <v>1258</v>
      </c>
      <c r="F186" t="s">
        <v>1259</v>
      </c>
      <c r="G186">
        <v>17891</v>
      </c>
      <c r="H186">
        <v>0</v>
      </c>
      <c r="I186">
        <v>82</v>
      </c>
      <c r="J186">
        <v>0</v>
      </c>
      <c r="K186">
        <v>0</v>
      </c>
      <c r="L186">
        <v>0</v>
      </c>
      <c r="M186">
        <v>2520784.7999999998</v>
      </c>
      <c r="N186" s="4">
        <v>46267</v>
      </c>
      <c r="O186" t="s">
        <v>1892</v>
      </c>
      <c r="P186" t="s">
        <v>568</v>
      </c>
      <c r="S186" t="s">
        <v>1614</v>
      </c>
      <c r="T186" t="s">
        <v>1261</v>
      </c>
      <c r="U186" t="s">
        <v>1262</v>
      </c>
      <c r="V186">
        <v>765244</v>
      </c>
      <c r="W186" t="s">
        <v>1614</v>
      </c>
      <c r="X186" t="s">
        <v>1263</v>
      </c>
      <c r="Y186" t="s">
        <v>1893</v>
      </c>
      <c r="Z186" t="s">
        <v>1894</v>
      </c>
      <c r="AA186" s="5">
        <v>46267.692361111112</v>
      </c>
      <c r="AB186" t="s">
        <v>1266</v>
      </c>
      <c r="AC186" t="s">
        <v>1267</v>
      </c>
      <c r="AD186" t="s">
        <v>1268</v>
      </c>
      <c r="AE186" t="s">
        <v>1269</v>
      </c>
      <c r="AF186" t="s">
        <v>1270</v>
      </c>
    </row>
    <row r="187" spans="2:32" x14ac:dyDescent="0.25">
      <c r="B187">
        <v>395390</v>
      </c>
      <c r="C187" t="s">
        <v>1609</v>
      </c>
      <c r="D187" t="s">
        <v>1257</v>
      </c>
      <c r="E187" t="s">
        <v>1258</v>
      </c>
      <c r="F187" t="s">
        <v>1259</v>
      </c>
      <c r="G187">
        <v>3699</v>
      </c>
      <c r="H187">
        <v>0</v>
      </c>
      <c r="I187">
        <v>49</v>
      </c>
      <c r="J187">
        <v>0</v>
      </c>
      <c r="K187">
        <v>0</v>
      </c>
      <c r="L187">
        <v>0</v>
      </c>
      <c r="M187">
        <v>2517036.7999999998</v>
      </c>
      <c r="N187" s="4">
        <v>46267</v>
      </c>
      <c r="O187" t="s">
        <v>1895</v>
      </c>
      <c r="P187" t="s">
        <v>590</v>
      </c>
      <c r="S187" t="s">
        <v>1614</v>
      </c>
      <c r="T187" t="s">
        <v>1261</v>
      </c>
      <c r="U187" t="s">
        <v>1262</v>
      </c>
      <c r="V187">
        <v>765244</v>
      </c>
      <c r="W187" t="s">
        <v>1614</v>
      </c>
      <c r="X187" t="s">
        <v>1263</v>
      </c>
      <c r="Y187" t="s">
        <v>1896</v>
      </c>
      <c r="Z187" t="s">
        <v>1897</v>
      </c>
      <c r="AA187" s="5">
        <v>46267.692361111112</v>
      </c>
      <c r="AB187" t="s">
        <v>1266</v>
      </c>
      <c r="AC187" t="s">
        <v>1267</v>
      </c>
      <c r="AD187" t="s">
        <v>1268</v>
      </c>
      <c r="AE187" t="s">
        <v>1269</v>
      </c>
      <c r="AF187" t="s">
        <v>1270</v>
      </c>
    </row>
    <row r="188" spans="2:32" hidden="1" x14ac:dyDescent="0.25">
      <c r="B188">
        <v>395390</v>
      </c>
      <c r="C188" t="s">
        <v>1609</v>
      </c>
      <c r="D188" t="s">
        <v>1257</v>
      </c>
      <c r="E188" t="s">
        <v>1258</v>
      </c>
      <c r="F188" t="s">
        <v>1259</v>
      </c>
      <c r="G188">
        <v>1044</v>
      </c>
      <c r="H188">
        <v>0</v>
      </c>
      <c r="I188">
        <v>25</v>
      </c>
      <c r="J188">
        <v>0</v>
      </c>
      <c r="K188">
        <v>0</v>
      </c>
      <c r="L188">
        <v>0</v>
      </c>
      <c r="M188">
        <v>2515967.7999999998</v>
      </c>
      <c r="N188" s="4">
        <v>46267</v>
      </c>
      <c r="O188" t="s">
        <v>1898</v>
      </c>
      <c r="Q188" t="s">
        <v>1899</v>
      </c>
      <c r="S188" t="s">
        <v>1747</v>
      </c>
      <c r="T188" t="s">
        <v>1261</v>
      </c>
      <c r="U188" t="s">
        <v>1262</v>
      </c>
      <c r="V188">
        <v>852648</v>
      </c>
      <c r="W188" t="s">
        <v>1747</v>
      </c>
      <c r="X188" t="s">
        <v>1263</v>
      </c>
      <c r="Y188" t="s">
        <v>1900</v>
      </c>
      <c r="Z188" t="s">
        <v>1901</v>
      </c>
      <c r="AA188" s="5">
        <v>46267.692361111112</v>
      </c>
      <c r="AB188" t="s">
        <v>1345</v>
      </c>
      <c r="AC188" t="s">
        <v>1267</v>
      </c>
      <c r="AD188" t="s">
        <v>1346</v>
      </c>
      <c r="AE188" t="s">
        <v>1347</v>
      </c>
      <c r="AF188" t="s">
        <v>1750</v>
      </c>
    </row>
    <row r="189" spans="2:32" x14ac:dyDescent="0.25">
      <c r="B189">
        <v>395390</v>
      </c>
      <c r="C189" t="s">
        <v>1609</v>
      </c>
      <c r="D189" t="s">
        <v>1257</v>
      </c>
      <c r="E189" t="s">
        <v>1258</v>
      </c>
      <c r="F189" t="s">
        <v>1259</v>
      </c>
      <c r="G189">
        <v>7231</v>
      </c>
      <c r="H189">
        <v>0</v>
      </c>
      <c r="I189">
        <v>57</v>
      </c>
      <c r="J189">
        <v>0</v>
      </c>
      <c r="K189">
        <v>0</v>
      </c>
      <c r="L189">
        <v>0</v>
      </c>
      <c r="M189">
        <v>2508679.7999999998</v>
      </c>
      <c r="N189" s="4">
        <v>46267</v>
      </c>
      <c r="O189" t="s">
        <v>1902</v>
      </c>
      <c r="P189" t="s">
        <v>497</v>
      </c>
      <c r="S189" t="s">
        <v>1614</v>
      </c>
      <c r="T189" t="s">
        <v>1261</v>
      </c>
      <c r="U189" t="s">
        <v>1262</v>
      </c>
      <c r="V189">
        <v>765244</v>
      </c>
      <c r="W189" t="s">
        <v>1614</v>
      </c>
      <c r="X189" t="s">
        <v>1263</v>
      </c>
      <c r="Y189" t="s">
        <v>1903</v>
      </c>
      <c r="Z189" t="s">
        <v>1904</v>
      </c>
      <c r="AA189" s="5">
        <v>46267.692361111112</v>
      </c>
      <c r="AB189" t="s">
        <v>1266</v>
      </c>
      <c r="AC189" t="s">
        <v>1267</v>
      </c>
      <c r="AD189" t="s">
        <v>1268</v>
      </c>
      <c r="AE189" t="s">
        <v>1269</v>
      </c>
      <c r="AF189" t="s">
        <v>1270</v>
      </c>
    </row>
    <row r="190" spans="2:32" x14ac:dyDescent="0.25">
      <c r="B190">
        <v>395390</v>
      </c>
      <c r="C190" t="s">
        <v>1609</v>
      </c>
      <c r="D190" t="s">
        <v>1257</v>
      </c>
      <c r="E190" t="s">
        <v>1258</v>
      </c>
      <c r="F190" t="s">
        <v>1259</v>
      </c>
      <c r="G190">
        <v>3400</v>
      </c>
      <c r="H190">
        <v>0</v>
      </c>
      <c r="I190">
        <v>40</v>
      </c>
      <c r="J190">
        <v>0</v>
      </c>
      <c r="K190">
        <v>0</v>
      </c>
      <c r="L190">
        <v>0</v>
      </c>
      <c r="M190">
        <v>2505239.7999999998</v>
      </c>
      <c r="N190" s="4">
        <v>46267</v>
      </c>
      <c r="O190" t="s">
        <v>1905</v>
      </c>
      <c r="P190" t="s">
        <v>559</v>
      </c>
      <c r="S190" t="s">
        <v>1614</v>
      </c>
      <c r="T190" t="s">
        <v>1261</v>
      </c>
      <c r="U190" t="s">
        <v>1262</v>
      </c>
      <c r="V190">
        <v>765244</v>
      </c>
      <c r="W190" t="s">
        <v>1614</v>
      </c>
      <c r="X190" t="s">
        <v>1263</v>
      </c>
      <c r="Y190" t="s">
        <v>1906</v>
      </c>
      <c r="Z190" t="s">
        <v>1907</v>
      </c>
      <c r="AA190" s="5">
        <v>46267.692361111112</v>
      </c>
      <c r="AB190" t="s">
        <v>1266</v>
      </c>
      <c r="AC190" t="s">
        <v>1267</v>
      </c>
      <c r="AD190" t="s">
        <v>1268</v>
      </c>
      <c r="AE190" t="s">
        <v>1269</v>
      </c>
      <c r="AF190" t="s">
        <v>1270</v>
      </c>
    </row>
    <row r="191" spans="2:32" x14ac:dyDescent="0.25">
      <c r="B191">
        <v>395390</v>
      </c>
      <c r="C191" t="s">
        <v>1609</v>
      </c>
      <c r="D191" t="s">
        <v>1257</v>
      </c>
      <c r="E191" t="s">
        <v>1258</v>
      </c>
      <c r="F191" t="s">
        <v>1259</v>
      </c>
      <c r="G191">
        <v>6891</v>
      </c>
      <c r="H191">
        <v>0</v>
      </c>
      <c r="I191">
        <v>57</v>
      </c>
      <c r="J191">
        <v>0</v>
      </c>
      <c r="K191">
        <v>0</v>
      </c>
      <c r="L191">
        <v>0</v>
      </c>
      <c r="M191">
        <v>2498291.7999999998</v>
      </c>
      <c r="N191" s="4">
        <v>46267</v>
      </c>
      <c r="O191" t="s">
        <v>1908</v>
      </c>
      <c r="P191" t="s">
        <v>555</v>
      </c>
      <c r="S191" t="s">
        <v>1614</v>
      </c>
      <c r="T191" t="s">
        <v>1261</v>
      </c>
      <c r="U191" t="s">
        <v>1262</v>
      </c>
      <c r="V191">
        <v>765244</v>
      </c>
      <c r="W191" t="s">
        <v>1614</v>
      </c>
      <c r="X191" t="s">
        <v>1263</v>
      </c>
      <c r="Y191" t="s">
        <v>1909</v>
      </c>
      <c r="Z191" t="s">
        <v>1910</v>
      </c>
      <c r="AA191" s="5">
        <v>46267.692361111112</v>
      </c>
      <c r="AB191" t="s">
        <v>1266</v>
      </c>
      <c r="AC191" t="s">
        <v>1267</v>
      </c>
      <c r="AD191" t="s">
        <v>1268</v>
      </c>
      <c r="AE191" t="s">
        <v>1269</v>
      </c>
      <c r="AF191" t="s">
        <v>1270</v>
      </c>
    </row>
    <row r="192" spans="2:32" x14ac:dyDescent="0.25">
      <c r="B192">
        <v>395390</v>
      </c>
      <c r="C192" t="s">
        <v>1609</v>
      </c>
      <c r="D192" t="s">
        <v>1257</v>
      </c>
      <c r="E192" t="s">
        <v>1258</v>
      </c>
      <c r="F192" t="s">
        <v>1259</v>
      </c>
      <c r="G192">
        <v>5470</v>
      </c>
      <c r="H192">
        <v>0</v>
      </c>
      <c r="I192">
        <v>57</v>
      </c>
      <c r="J192">
        <v>0</v>
      </c>
      <c r="K192">
        <v>0</v>
      </c>
      <c r="L192">
        <v>0</v>
      </c>
      <c r="M192">
        <v>2492764.7999999998</v>
      </c>
      <c r="N192" s="4">
        <v>46267</v>
      </c>
      <c r="O192" t="s">
        <v>1911</v>
      </c>
      <c r="P192" t="s">
        <v>522</v>
      </c>
      <c r="S192" t="s">
        <v>1564</v>
      </c>
      <c r="T192" t="s">
        <v>1261</v>
      </c>
      <c r="U192" t="s">
        <v>1262</v>
      </c>
      <c r="V192">
        <v>852648</v>
      </c>
      <c r="W192" t="s">
        <v>1564</v>
      </c>
      <c r="X192" t="s">
        <v>1263</v>
      </c>
      <c r="Y192" t="s">
        <v>1912</v>
      </c>
      <c r="Z192" t="s">
        <v>1913</v>
      </c>
      <c r="AA192" s="5">
        <v>46267.692361111112</v>
      </c>
      <c r="AB192" t="s">
        <v>1266</v>
      </c>
      <c r="AC192" t="s">
        <v>1267</v>
      </c>
      <c r="AD192" t="s">
        <v>1268</v>
      </c>
      <c r="AE192" t="s">
        <v>1269</v>
      </c>
      <c r="AF192" t="s">
        <v>1270</v>
      </c>
    </row>
    <row r="193" spans="2:32" x14ac:dyDescent="0.25">
      <c r="B193">
        <v>395390</v>
      </c>
      <c r="C193" t="s">
        <v>1609</v>
      </c>
      <c r="D193" t="s">
        <v>1257</v>
      </c>
      <c r="E193" t="s">
        <v>1258</v>
      </c>
      <c r="F193" t="s">
        <v>1259</v>
      </c>
      <c r="G193">
        <v>2620</v>
      </c>
      <c r="H193">
        <v>0</v>
      </c>
      <c r="I193">
        <v>40</v>
      </c>
      <c r="J193">
        <v>0</v>
      </c>
      <c r="K193">
        <v>0</v>
      </c>
      <c r="L193">
        <v>0</v>
      </c>
      <c r="M193">
        <v>2490104.7999999998</v>
      </c>
      <c r="N193" s="4">
        <v>46267</v>
      </c>
      <c r="O193" t="s">
        <v>1914</v>
      </c>
      <c r="P193" t="s">
        <v>543</v>
      </c>
      <c r="S193" t="s">
        <v>1614</v>
      </c>
      <c r="T193" t="s">
        <v>1261</v>
      </c>
      <c r="U193" t="s">
        <v>1262</v>
      </c>
      <c r="V193">
        <v>765244</v>
      </c>
      <c r="W193" t="s">
        <v>1614</v>
      </c>
      <c r="X193" t="s">
        <v>1263</v>
      </c>
      <c r="Y193" t="s">
        <v>1915</v>
      </c>
      <c r="Z193" t="s">
        <v>1916</v>
      </c>
      <c r="AA193" s="5">
        <v>46267.692361111112</v>
      </c>
      <c r="AB193" t="s">
        <v>1266</v>
      </c>
      <c r="AC193" t="s">
        <v>1267</v>
      </c>
      <c r="AD193" t="s">
        <v>1268</v>
      </c>
      <c r="AE193" t="s">
        <v>1269</v>
      </c>
      <c r="AF193" t="s">
        <v>1270</v>
      </c>
    </row>
    <row r="194" spans="2:32" x14ac:dyDescent="0.25">
      <c r="B194">
        <v>395390</v>
      </c>
      <c r="C194" t="s">
        <v>1609</v>
      </c>
      <c r="D194" t="s">
        <v>1257</v>
      </c>
      <c r="E194" t="s">
        <v>1258</v>
      </c>
      <c r="F194" t="s">
        <v>1259</v>
      </c>
      <c r="G194">
        <v>22961</v>
      </c>
      <c r="H194">
        <v>0</v>
      </c>
      <c r="I194">
        <v>87</v>
      </c>
      <c r="J194">
        <v>0</v>
      </c>
      <c r="K194">
        <v>0</v>
      </c>
      <c r="L194">
        <v>0</v>
      </c>
      <c r="M194">
        <v>2376079.7999999998</v>
      </c>
      <c r="N194" s="4">
        <v>46267</v>
      </c>
      <c r="O194" t="s">
        <v>1917</v>
      </c>
      <c r="P194" t="s">
        <v>529</v>
      </c>
      <c r="S194" t="s">
        <v>1564</v>
      </c>
      <c r="T194" t="s">
        <v>1261</v>
      </c>
      <c r="U194" t="s">
        <v>1262</v>
      </c>
      <c r="V194">
        <v>852648</v>
      </c>
      <c r="W194" t="s">
        <v>1564</v>
      </c>
      <c r="X194" t="s">
        <v>1263</v>
      </c>
      <c r="Y194" t="s">
        <v>1918</v>
      </c>
      <c r="Z194" t="s">
        <v>1919</v>
      </c>
      <c r="AA194" s="5">
        <v>46267.692361111112</v>
      </c>
      <c r="AB194" t="s">
        <v>1266</v>
      </c>
      <c r="AC194" t="s">
        <v>1267</v>
      </c>
      <c r="AD194" t="s">
        <v>1268</v>
      </c>
      <c r="AE194" t="s">
        <v>1269</v>
      </c>
      <c r="AF194" t="s">
        <v>1270</v>
      </c>
    </row>
    <row r="195" spans="2:32" x14ac:dyDescent="0.25">
      <c r="B195">
        <v>395390</v>
      </c>
      <c r="C195" t="s">
        <v>1609</v>
      </c>
      <c r="D195" t="s">
        <v>1257</v>
      </c>
      <c r="E195" t="s">
        <v>1258</v>
      </c>
      <c r="F195" t="s">
        <v>1259</v>
      </c>
      <c r="G195">
        <v>11539</v>
      </c>
      <c r="H195">
        <v>0</v>
      </c>
      <c r="I195">
        <v>72</v>
      </c>
      <c r="J195">
        <v>0</v>
      </c>
      <c r="K195">
        <v>0</v>
      </c>
      <c r="L195">
        <v>0</v>
      </c>
      <c r="M195">
        <v>2349927.7999999998</v>
      </c>
      <c r="N195" s="4">
        <v>46267</v>
      </c>
      <c r="O195" t="s">
        <v>1920</v>
      </c>
      <c r="P195" t="s">
        <v>587</v>
      </c>
      <c r="S195" t="s">
        <v>1614</v>
      </c>
      <c r="T195" t="s">
        <v>1261</v>
      </c>
      <c r="U195" t="s">
        <v>1262</v>
      </c>
      <c r="V195">
        <v>765244</v>
      </c>
      <c r="W195" t="s">
        <v>1614</v>
      </c>
      <c r="X195" t="s">
        <v>1263</v>
      </c>
      <c r="Y195" t="s">
        <v>1921</v>
      </c>
      <c r="Z195" t="s">
        <v>1922</v>
      </c>
      <c r="AA195" s="5">
        <v>46267.692361111112</v>
      </c>
      <c r="AB195" t="s">
        <v>1266</v>
      </c>
      <c r="AC195" t="s">
        <v>1267</v>
      </c>
      <c r="AD195" t="s">
        <v>1268</v>
      </c>
      <c r="AE195" t="s">
        <v>1269</v>
      </c>
      <c r="AF195" t="s">
        <v>1270</v>
      </c>
    </row>
    <row r="196" spans="2:32" x14ac:dyDescent="0.25">
      <c r="B196">
        <v>395390</v>
      </c>
      <c r="C196" t="s">
        <v>1609</v>
      </c>
      <c r="D196" t="s">
        <v>1257</v>
      </c>
      <c r="E196" t="s">
        <v>1258</v>
      </c>
      <c r="F196" t="s">
        <v>1259</v>
      </c>
      <c r="G196">
        <v>249</v>
      </c>
      <c r="H196">
        <v>0</v>
      </c>
      <c r="I196">
        <v>10</v>
      </c>
      <c r="J196">
        <v>0</v>
      </c>
      <c r="K196">
        <v>0</v>
      </c>
      <c r="L196">
        <v>0</v>
      </c>
      <c r="M196">
        <v>2349668.7999999998</v>
      </c>
      <c r="N196" s="4">
        <v>46267</v>
      </c>
      <c r="O196" t="s">
        <v>1923</v>
      </c>
      <c r="P196" t="s">
        <v>571</v>
      </c>
      <c r="S196" t="s">
        <v>1614</v>
      </c>
      <c r="T196" t="s">
        <v>1261</v>
      </c>
      <c r="U196" t="s">
        <v>1262</v>
      </c>
      <c r="V196">
        <v>765244</v>
      </c>
      <c r="W196" t="s">
        <v>1614</v>
      </c>
      <c r="X196" t="s">
        <v>1263</v>
      </c>
      <c r="Y196" t="s">
        <v>1924</v>
      </c>
      <c r="Z196" t="s">
        <v>1925</v>
      </c>
      <c r="AA196" s="5">
        <v>46267.692361111112</v>
      </c>
      <c r="AB196" t="s">
        <v>1266</v>
      </c>
      <c r="AC196" t="s">
        <v>1267</v>
      </c>
      <c r="AD196" t="s">
        <v>1268</v>
      </c>
      <c r="AE196" t="s">
        <v>1269</v>
      </c>
      <c r="AF196" t="s">
        <v>1270</v>
      </c>
    </row>
    <row r="197" spans="2:32" x14ac:dyDescent="0.25">
      <c r="B197">
        <v>395390</v>
      </c>
      <c r="C197" t="s">
        <v>1609</v>
      </c>
      <c r="D197" t="s">
        <v>1257</v>
      </c>
      <c r="E197" t="s">
        <v>1258</v>
      </c>
      <c r="F197" t="s">
        <v>1259</v>
      </c>
      <c r="G197">
        <v>1810</v>
      </c>
      <c r="H197">
        <v>0</v>
      </c>
      <c r="I197">
        <v>35</v>
      </c>
      <c r="J197">
        <v>0</v>
      </c>
      <c r="K197">
        <v>0</v>
      </c>
      <c r="L197">
        <v>0</v>
      </c>
      <c r="M197">
        <v>2345985.7999999998</v>
      </c>
      <c r="N197" s="4">
        <v>46267</v>
      </c>
      <c r="O197" t="s">
        <v>1926</v>
      </c>
      <c r="P197" t="s">
        <v>562</v>
      </c>
      <c r="S197" t="s">
        <v>1614</v>
      </c>
      <c r="T197" t="s">
        <v>1261</v>
      </c>
      <c r="U197" t="s">
        <v>1262</v>
      </c>
      <c r="V197">
        <v>765244</v>
      </c>
      <c r="W197" t="s">
        <v>1614</v>
      </c>
      <c r="X197" t="s">
        <v>1263</v>
      </c>
      <c r="Y197" t="s">
        <v>1927</v>
      </c>
      <c r="Z197" t="s">
        <v>1928</v>
      </c>
      <c r="AA197" s="5">
        <v>46267.692361111112</v>
      </c>
      <c r="AB197" t="s">
        <v>1266</v>
      </c>
      <c r="AC197" t="s">
        <v>1267</v>
      </c>
      <c r="AD197" t="s">
        <v>1268</v>
      </c>
      <c r="AE197" t="s">
        <v>1269</v>
      </c>
      <c r="AF197" t="s">
        <v>1270</v>
      </c>
    </row>
    <row r="198" spans="2:32" x14ac:dyDescent="0.25">
      <c r="B198">
        <v>395390</v>
      </c>
      <c r="C198" t="s">
        <v>1609</v>
      </c>
      <c r="D198" t="s">
        <v>1257</v>
      </c>
      <c r="E198" t="s">
        <v>1258</v>
      </c>
      <c r="F198" t="s">
        <v>1259</v>
      </c>
      <c r="G198">
        <v>9819</v>
      </c>
      <c r="H198">
        <v>0</v>
      </c>
      <c r="I198">
        <v>63</v>
      </c>
      <c r="J198">
        <v>0</v>
      </c>
      <c r="K198">
        <v>0</v>
      </c>
      <c r="L198">
        <v>0</v>
      </c>
      <c r="M198">
        <v>2336006.7999999998</v>
      </c>
      <c r="N198" s="4">
        <v>46267</v>
      </c>
      <c r="O198" t="s">
        <v>1929</v>
      </c>
      <c r="P198" t="s">
        <v>549</v>
      </c>
      <c r="S198" t="s">
        <v>1627</v>
      </c>
      <c r="T198" t="s">
        <v>1261</v>
      </c>
      <c r="U198" t="s">
        <v>1262</v>
      </c>
      <c r="V198">
        <v>350050</v>
      </c>
      <c r="W198" t="s">
        <v>1627</v>
      </c>
      <c r="X198" t="s">
        <v>1263</v>
      </c>
      <c r="Y198" t="s">
        <v>1930</v>
      </c>
      <c r="Z198" t="s">
        <v>1931</v>
      </c>
      <c r="AA198" s="5">
        <v>46267.692361111112</v>
      </c>
      <c r="AB198" t="s">
        <v>1266</v>
      </c>
      <c r="AC198" t="s">
        <v>1267</v>
      </c>
      <c r="AD198" t="s">
        <v>1268</v>
      </c>
      <c r="AE198" t="s">
        <v>1269</v>
      </c>
      <c r="AF198" t="s">
        <v>1270</v>
      </c>
    </row>
    <row r="199" spans="2:32" x14ac:dyDescent="0.25">
      <c r="B199">
        <v>395390</v>
      </c>
      <c r="C199" t="s">
        <v>1609</v>
      </c>
      <c r="D199" t="s">
        <v>1257</v>
      </c>
      <c r="E199" t="s">
        <v>1258</v>
      </c>
      <c r="F199" t="s">
        <v>1259</v>
      </c>
      <c r="G199">
        <v>25965</v>
      </c>
      <c r="H199">
        <v>0</v>
      </c>
      <c r="I199">
        <v>92</v>
      </c>
      <c r="J199">
        <v>0</v>
      </c>
      <c r="K199">
        <v>0</v>
      </c>
      <c r="L199">
        <v>0</v>
      </c>
      <c r="M199">
        <v>2291150.7999999998</v>
      </c>
      <c r="N199" s="4">
        <v>46267</v>
      </c>
      <c r="O199" t="s">
        <v>1932</v>
      </c>
      <c r="P199" t="s">
        <v>540</v>
      </c>
      <c r="S199" t="s">
        <v>1627</v>
      </c>
      <c r="T199" t="s">
        <v>1261</v>
      </c>
      <c r="U199" t="s">
        <v>1262</v>
      </c>
      <c r="V199">
        <v>350050</v>
      </c>
      <c r="W199" t="s">
        <v>1627</v>
      </c>
      <c r="X199" t="s">
        <v>1263</v>
      </c>
      <c r="Y199" t="s">
        <v>1933</v>
      </c>
      <c r="Z199" t="s">
        <v>1934</v>
      </c>
      <c r="AA199" s="5">
        <v>46267.692361111112</v>
      </c>
      <c r="AB199" t="s">
        <v>1266</v>
      </c>
      <c r="AC199" t="s">
        <v>1267</v>
      </c>
      <c r="AD199" t="s">
        <v>1268</v>
      </c>
      <c r="AE199" t="s">
        <v>1269</v>
      </c>
      <c r="AF199" t="s">
        <v>1270</v>
      </c>
    </row>
    <row r="200" spans="2:32" x14ac:dyDescent="0.25">
      <c r="B200">
        <v>395390</v>
      </c>
      <c r="C200" t="s">
        <v>1609</v>
      </c>
      <c r="D200" t="s">
        <v>1257</v>
      </c>
      <c r="E200" t="s">
        <v>1258</v>
      </c>
      <c r="F200" t="s">
        <v>1259</v>
      </c>
      <c r="G200">
        <v>13360</v>
      </c>
      <c r="H200">
        <v>0</v>
      </c>
      <c r="I200">
        <v>72</v>
      </c>
      <c r="J200">
        <v>0</v>
      </c>
      <c r="K200">
        <v>0</v>
      </c>
      <c r="L200">
        <v>0</v>
      </c>
      <c r="M200">
        <v>2277657.7999999998</v>
      </c>
      <c r="N200" s="4">
        <v>46267</v>
      </c>
      <c r="O200" t="s">
        <v>1935</v>
      </c>
      <c r="P200" t="s">
        <v>546</v>
      </c>
      <c r="S200" t="s">
        <v>1614</v>
      </c>
      <c r="T200" t="s">
        <v>1261</v>
      </c>
      <c r="U200" t="s">
        <v>1262</v>
      </c>
      <c r="V200">
        <v>765244</v>
      </c>
      <c r="W200" t="s">
        <v>1614</v>
      </c>
      <c r="X200" t="s">
        <v>1263</v>
      </c>
      <c r="Y200" t="s">
        <v>1936</v>
      </c>
      <c r="Z200" t="s">
        <v>1937</v>
      </c>
      <c r="AA200" s="5">
        <v>46267.692361111112</v>
      </c>
      <c r="AB200" t="s">
        <v>1266</v>
      </c>
      <c r="AC200" t="s">
        <v>1267</v>
      </c>
      <c r="AD200" t="s">
        <v>1268</v>
      </c>
      <c r="AE200" t="s">
        <v>1269</v>
      </c>
      <c r="AF200" t="s">
        <v>1270</v>
      </c>
    </row>
    <row r="201" spans="2:32" x14ac:dyDescent="0.25">
      <c r="B201">
        <v>395390</v>
      </c>
      <c r="C201" t="s">
        <v>1609</v>
      </c>
      <c r="D201" t="s">
        <v>1257</v>
      </c>
      <c r="E201" t="s">
        <v>1258</v>
      </c>
      <c r="F201" t="s">
        <v>1259</v>
      </c>
      <c r="G201">
        <v>26617</v>
      </c>
      <c r="H201">
        <v>0</v>
      </c>
      <c r="I201">
        <v>92</v>
      </c>
      <c r="J201">
        <v>0</v>
      </c>
      <c r="K201">
        <v>0</v>
      </c>
      <c r="L201">
        <v>0</v>
      </c>
      <c r="M201">
        <v>2240322.7999999998</v>
      </c>
      <c r="N201" s="4">
        <v>46267</v>
      </c>
      <c r="O201" t="s">
        <v>1938</v>
      </c>
      <c r="P201" t="s">
        <v>533</v>
      </c>
      <c r="S201" t="s">
        <v>1614</v>
      </c>
      <c r="T201" t="s">
        <v>1261</v>
      </c>
      <c r="U201" t="s">
        <v>1262</v>
      </c>
      <c r="V201">
        <v>765244</v>
      </c>
      <c r="W201" t="s">
        <v>1614</v>
      </c>
      <c r="X201" t="s">
        <v>1263</v>
      </c>
      <c r="Y201" t="s">
        <v>1939</v>
      </c>
      <c r="Z201" t="s">
        <v>1940</v>
      </c>
      <c r="AA201" s="5">
        <v>46267.692361111112</v>
      </c>
      <c r="AB201" t="s">
        <v>1266</v>
      </c>
      <c r="AC201" t="s">
        <v>1267</v>
      </c>
      <c r="AD201" t="s">
        <v>1268</v>
      </c>
      <c r="AE201" t="s">
        <v>1269</v>
      </c>
      <c r="AF201" t="s">
        <v>1270</v>
      </c>
    </row>
    <row r="202" spans="2:32" x14ac:dyDescent="0.25">
      <c r="B202">
        <v>395390</v>
      </c>
      <c r="C202" t="s">
        <v>1609</v>
      </c>
      <c r="D202" t="s">
        <v>1257</v>
      </c>
      <c r="E202" t="s">
        <v>1258</v>
      </c>
      <c r="F202" t="s">
        <v>1259</v>
      </c>
      <c r="G202">
        <v>3030</v>
      </c>
      <c r="H202">
        <v>0</v>
      </c>
      <c r="I202">
        <v>40</v>
      </c>
      <c r="J202">
        <v>0</v>
      </c>
      <c r="K202">
        <v>0</v>
      </c>
      <c r="L202">
        <v>0</v>
      </c>
      <c r="M202">
        <v>2233943.7999999998</v>
      </c>
      <c r="N202" s="4">
        <v>46267</v>
      </c>
      <c r="O202" t="s">
        <v>1941</v>
      </c>
      <c r="P202" t="s">
        <v>501</v>
      </c>
      <c r="S202" t="s">
        <v>1627</v>
      </c>
      <c r="T202" t="s">
        <v>1261</v>
      </c>
      <c r="U202" t="s">
        <v>1262</v>
      </c>
      <c r="V202">
        <v>350050</v>
      </c>
      <c r="W202" t="s">
        <v>1627</v>
      </c>
      <c r="X202" t="s">
        <v>1263</v>
      </c>
      <c r="Y202" t="s">
        <v>1942</v>
      </c>
      <c r="Z202" t="s">
        <v>1943</v>
      </c>
      <c r="AA202" s="5">
        <v>46267.692361111112</v>
      </c>
      <c r="AB202" t="s">
        <v>1266</v>
      </c>
      <c r="AC202" t="s">
        <v>1267</v>
      </c>
      <c r="AD202" t="s">
        <v>1268</v>
      </c>
      <c r="AE202" t="s">
        <v>1269</v>
      </c>
      <c r="AF202" t="s">
        <v>1270</v>
      </c>
    </row>
    <row r="203" spans="2:32" x14ac:dyDescent="0.25">
      <c r="B203">
        <v>395390</v>
      </c>
      <c r="C203" t="s">
        <v>1609</v>
      </c>
      <c r="D203" t="s">
        <v>1257</v>
      </c>
      <c r="E203" t="s">
        <v>1258</v>
      </c>
      <c r="F203" t="s">
        <v>1259</v>
      </c>
      <c r="G203">
        <v>6981</v>
      </c>
      <c r="H203">
        <v>0</v>
      </c>
      <c r="I203">
        <v>57</v>
      </c>
      <c r="J203">
        <v>0</v>
      </c>
      <c r="K203">
        <v>0</v>
      </c>
      <c r="L203">
        <v>0</v>
      </c>
      <c r="M203">
        <v>2226755.7999999998</v>
      </c>
      <c r="N203" s="4">
        <v>46267</v>
      </c>
      <c r="O203" t="s">
        <v>1944</v>
      </c>
      <c r="P203" t="s">
        <v>510</v>
      </c>
      <c r="S203" t="s">
        <v>1564</v>
      </c>
      <c r="T203" t="s">
        <v>1261</v>
      </c>
      <c r="U203" t="s">
        <v>1262</v>
      </c>
      <c r="V203">
        <v>852648</v>
      </c>
      <c r="W203" t="s">
        <v>1564</v>
      </c>
      <c r="X203" t="s">
        <v>1263</v>
      </c>
      <c r="Y203" t="s">
        <v>1945</v>
      </c>
      <c r="Z203" t="s">
        <v>1946</v>
      </c>
      <c r="AA203" s="5">
        <v>46267.692361111112</v>
      </c>
      <c r="AB203" t="s">
        <v>1266</v>
      </c>
      <c r="AC203" t="s">
        <v>1267</v>
      </c>
      <c r="AD203" t="s">
        <v>1268</v>
      </c>
      <c r="AE203" t="s">
        <v>1269</v>
      </c>
      <c r="AF203" t="s">
        <v>1270</v>
      </c>
    </row>
    <row r="204" spans="2:32" x14ac:dyDescent="0.25">
      <c r="B204">
        <v>395390</v>
      </c>
      <c r="C204" t="s">
        <v>1609</v>
      </c>
      <c r="D204" t="s">
        <v>1257</v>
      </c>
      <c r="E204" t="s">
        <v>1258</v>
      </c>
      <c r="F204" t="s">
        <v>1259</v>
      </c>
      <c r="G204">
        <v>7286</v>
      </c>
      <c r="H204">
        <v>0</v>
      </c>
      <c r="I204">
        <v>57</v>
      </c>
      <c r="J204">
        <v>0</v>
      </c>
      <c r="K204">
        <v>0</v>
      </c>
      <c r="L204">
        <v>0</v>
      </c>
      <c r="M204">
        <v>2219336.7999999998</v>
      </c>
      <c r="N204" s="4">
        <v>46267</v>
      </c>
      <c r="O204" t="s">
        <v>1947</v>
      </c>
      <c r="P204" t="s">
        <v>507</v>
      </c>
      <c r="S204" t="s">
        <v>1614</v>
      </c>
      <c r="T204" t="s">
        <v>1261</v>
      </c>
      <c r="U204" t="s">
        <v>1262</v>
      </c>
      <c r="V204">
        <v>765244</v>
      </c>
      <c r="W204" t="s">
        <v>1614</v>
      </c>
      <c r="X204" t="s">
        <v>1263</v>
      </c>
      <c r="Y204" t="s">
        <v>1948</v>
      </c>
      <c r="Z204" t="s">
        <v>1949</v>
      </c>
      <c r="AA204" s="5">
        <v>46267.692361111112</v>
      </c>
      <c r="AB204" t="s">
        <v>1266</v>
      </c>
      <c r="AC204" t="s">
        <v>1267</v>
      </c>
      <c r="AD204" t="s">
        <v>1268</v>
      </c>
      <c r="AE204" t="s">
        <v>1269</v>
      </c>
      <c r="AF204" t="s">
        <v>1270</v>
      </c>
    </row>
    <row r="205" spans="2:32" x14ac:dyDescent="0.25">
      <c r="B205">
        <v>395390</v>
      </c>
      <c r="C205" t="s">
        <v>1609</v>
      </c>
      <c r="D205" t="s">
        <v>1257</v>
      </c>
      <c r="E205" t="s">
        <v>1258</v>
      </c>
      <c r="F205" t="s">
        <v>1259</v>
      </c>
      <c r="G205">
        <v>1595</v>
      </c>
      <c r="H205">
        <v>0</v>
      </c>
      <c r="I205">
        <v>35</v>
      </c>
      <c r="J205">
        <v>0</v>
      </c>
      <c r="K205">
        <v>0</v>
      </c>
      <c r="L205">
        <v>0</v>
      </c>
      <c r="M205">
        <v>2211816.7999999998</v>
      </c>
      <c r="N205" s="4">
        <v>46267</v>
      </c>
      <c r="O205" t="s">
        <v>1950</v>
      </c>
      <c r="P205" t="s">
        <v>519</v>
      </c>
      <c r="S205" t="s">
        <v>1614</v>
      </c>
      <c r="T205" t="s">
        <v>1261</v>
      </c>
      <c r="U205" t="s">
        <v>1262</v>
      </c>
      <c r="V205">
        <v>765244</v>
      </c>
      <c r="W205" t="s">
        <v>1614</v>
      </c>
      <c r="X205" t="s">
        <v>1263</v>
      </c>
      <c r="Y205" t="s">
        <v>1951</v>
      </c>
      <c r="Z205" t="s">
        <v>1952</v>
      </c>
      <c r="AA205" s="5">
        <v>46267.692361111112</v>
      </c>
      <c r="AB205" t="s">
        <v>1266</v>
      </c>
      <c r="AC205" t="s">
        <v>1267</v>
      </c>
      <c r="AD205" t="s">
        <v>1268</v>
      </c>
      <c r="AE205" t="s">
        <v>1269</v>
      </c>
      <c r="AF205" t="s">
        <v>1270</v>
      </c>
    </row>
    <row r="206" spans="2:32" x14ac:dyDescent="0.25">
      <c r="B206">
        <v>395390</v>
      </c>
      <c r="C206" t="s">
        <v>1609</v>
      </c>
      <c r="D206" t="s">
        <v>1257</v>
      </c>
      <c r="E206" t="s">
        <v>1258</v>
      </c>
      <c r="F206" t="s">
        <v>1259</v>
      </c>
      <c r="G206">
        <v>68594</v>
      </c>
      <c r="H206">
        <v>0</v>
      </c>
      <c r="I206">
        <v>136</v>
      </c>
      <c r="J206">
        <v>0</v>
      </c>
      <c r="K206">
        <v>0</v>
      </c>
      <c r="L206">
        <v>0</v>
      </c>
      <c r="M206">
        <v>2143075.7999999998</v>
      </c>
      <c r="N206" s="4">
        <v>46267</v>
      </c>
      <c r="O206" t="s">
        <v>1953</v>
      </c>
      <c r="P206" t="s">
        <v>504</v>
      </c>
      <c r="S206" t="s">
        <v>1614</v>
      </c>
      <c r="T206" t="s">
        <v>1261</v>
      </c>
      <c r="U206" t="s">
        <v>1262</v>
      </c>
      <c r="V206">
        <v>765244</v>
      </c>
      <c r="W206" t="s">
        <v>1614</v>
      </c>
      <c r="X206" t="s">
        <v>1263</v>
      </c>
      <c r="Y206" t="s">
        <v>1954</v>
      </c>
      <c r="Z206" t="s">
        <v>1955</v>
      </c>
      <c r="AA206" s="5">
        <v>46267.692361111112</v>
      </c>
      <c r="AB206" t="s">
        <v>1266</v>
      </c>
      <c r="AC206" t="s">
        <v>1267</v>
      </c>
      <c r="AD206" t="s">
        <v>1268</v>
      </c>
      <c r="AE206" t="s">
        <v>1269</v>
      </c>
      <c r="AF206" t="s">
        <v>1270</v>
      </c>
    </row>
    <row r="207" spans="2:32" x14ac:dyDescent="0.25">
      <c r="B207">
        <v>395390</v>
      </c>
      <c r="C207" t="s">
        <v>1609</v>
      </c>
      <c r="D207" t="s">
        <v>1257</v>
      </c>
      <c r="E207" t="s">
        <v>1258</v>
      </c>
      <c r="F207" t="s">
        <v>1259</v>
      </c>
      <c r="G207">
        <v>3354</v>
      </c>
      <c r="H207">
        <v>0</v>
      </c>
      <c r="I207">
        <v>40</v>
      </c>
      <c r="J207">
        <v>0</v>
      </c>
      <c r="K207">
        <v>0</v>
      </c>
      <c r="L207">
        <v>0</v>
      </c>
      <c r="M207">
        <v>2134640.7999999998</v>
      </c>
      <c r="N207" s="4">
        <v>46267</v>
      </c>
      <c r="O207" t="s">
        <v>1956</v>
      </c>
      <c r="P207" t="s">
        <v>494</v>
      </c>
      <c r="S207" t="s">
        <v>1614</v>
      </c>
      <c r="T207" t="s">
        <v>1261</v>
      </c>
      <c r="U207" t="s">
        <v>1262</v>
      </c>
      <c r="V207">
        <v>765244</v>
      </c>
      <c r="W207" t="s">
        <v>1614</v>
      </c>
      <c r="X207" t="s">
        <v>1263</v>
      </c>
      <c r="Y207" t="s">
        <v>1957</v>
      </c>
      <c r="Z207" t="s">
        <v>1958</v>
      </c>
      <c r="AA207" s="5">
        <v>46267.692361111112</v>
      </c>
      <c r="AB207" t="s">
        <v>1266</v>
      </c>
      <c r="AC207" t="s">
        <v>1267</v>
      </c>
      <c r="AD207" t="s">
        <v>1268</v>
      </c>
      <c r="AE207" t="s">
        <v>1269</v>
      </c>
      <c r="AF207" t="s">
        <v>1270</v>
      </c>
    </row>
    <row r="208" spans="2:32" x14ac:dyDescent="0.25">
      <c r="B208">
        <v>395390</v>
      </c>
      <c r="C208" t="s">
        <v>1609</v>
      </c>
      <c r="D208" t="s">
        <v>1257</v>
      </c>
      <c r="E208" t="s">
        <v>1258</v>
      </c>
      <c r="F208" t="s">
        <v>1259</v>
      </c>
      <c r="G208">
        <v>2664</v>
      </c>
      <c r="H208">
        <v>0</v>
      </c>
      <c r="I208">
        <v>40</v>
      </c>
      <c r="J208">
        <v>0</v>
      </c>
      <c r="K208">
        <v>0</v>
      </c>
      <c r="L208">
        <v>0</v>
      </c>
      <c r="M208">
        <v>2122198.7999999998</v>
      </c>
      <c r="N208" s="4">
        <v>46267</v>
      </c>
      <c r="O208" t="s">
        <v>1959</v>
      </c>
      <c r="P208" t="s">
        <v>490</v>
      </c>
      <c r="S208" t="s">
        <v>1564</v>
      </c>
      <c r="T208" t="s">
        <v>1261</v>
      </c>
      <c r="U208" t="s">
        <v>1262</v>
      </c>
      <c r="V208">
        <v>852648</v>
      </c>
      <c r="W208" t="s">
        <v>1564</v>
      </c>
      <c r="X208" t="s">
        <v>1263</v>
      </c>
      <c r="Y208" t="s">
        <v>1960</v>
      </c>
      <c r="Z208" t="s">
        <v>1961</v>
      </c>
      <c r="AA208" s="5">
        <v>46267.692361111112</v>
      </c>
      <c r="AB208" t="s">
        <v>1266</v>
      </c>
      <c r="AC208" t="s">
        <v>1267</v>
      </c>
      <c r="AD208" t="s">
        <v>1268</v>
      </c>
      <c r="AE208" t="s">
        <v>1269</v>
      </c>
      <c r="AF208" t="s">
        <v>1270</v>
      </c>
    </row>
    <row r="209" spans="2:32" x14ac:dyDescent="0.25">
      <c r="B209">
        <v>395390</v>
      </c>
      <c r="C209" t="s">
        <v>1609</v>
      </c>
      <c r="D209" t="s">
        <v>1257</v>
      </c>
      <c r="E209" t="s">
        <v>1258</v>
      </c>
      <c r="F209" t="s">
        <v>1259</v>
      </c>
      <c r="G209">
        <v>3485</v>
      </c>
      <c r="H209">
        <v>0</v>
      </c>
      <c r="I209">
        <v>40</v>
      </c>
      <c r="J209">
        <v>0</v>
      </c>
      <c r="K209">
        <v>0</v>
      </c>
      <c r="L209">
        <v>0</v>
      </c>
      <c r="M209">
        <v>2118673.7999999998</v>
      </c>
      <c r="N209" s="4">
        <v>46267</v>
      </c>
      <c r="O209" t="s">
        <v>1962</v>
      </c>
      <c r="P209" t="s">
        <v>482</v>
      </c>
      <c r="S209" t="s">
        <v>1564</v>
      </c>
      <c r="T209" t="s">
        <v>1261</v>
      </c>
      <c r="U209" t="s">
        <v>1262</v>
      </c>
      <c r="V209">
        <v>852648</v>
      </c>
      <c r="W209" t="s">
        <v>1564</v>
      </c>
      <c r="X209" t="s">
        <v>1263</v>
      </c>
      <c r="Y209" t="s">
        <v>1963</v>
      </c>
      <c r="Z209" t="s">
        <v>1964</v>
      </c>
      <c r="AA209" s="5">
        <v>46267.692361111112</v>
      </c>
      <c r="AB209" t="s">
        <v>1266</v>
      </c>
      <c r="AC209" t="s">
        <v>1267</v>
      </c>
      <c r="AD209" t="s">
        <v>1268</v>
      </c>
      <c r="AE209" t="s">
        <v>1269</v>
      </c>
      <c r="AF209" t="s">
        <v>1270</v>
      </c>
    </row>
    <row r="210" spans="2:32" x14ac:dyDescent="0.25">
      <c r="B210">
        <v>395390</v>
      </c>
      <c r="C210" t="s">
        <v>1609</v>
      </c>
      <c r="D210" t="s">
        <v>1257</v>
      </c>
      <c r="E210" t="s">
        <v>1258</v>
      </c>
      <c r="F210" t="s">
        <v>1259</v>
      </c>
      <c r="G210">
        <v>10668</v>
      </c>
      <c r="H210">
        <v>0</v>
      </c>
      <c r="I210">
        <v>72</v>
      </c>
      <c r="J210">
        <v>0</v>
      </c>
      <c r="K210">
        <v>0</v>
      </c>
      <c r="L210">
        <v>0</v>
      </c>
      <c r="M210">
        <v>2106372.7999999998</v>
      </c>
      <c r="N210" s="4">
        <v>46267</v>
      </c>
      <c r="O210" t="s">
        <v>1965</v>
      </c>
      <c r="P210" t="s">
        <v>487</v>
      </c>
      <c r="S210" t="s">
        <v>1614</v>
      </c>
      <c r="T210" t="s">
        <v>1261</v>
      </c>
      <c r="U210" t="s">
        <v>1262</v>
      </c>
      <c r="V210">
        <v>765244</v>
      </c>
      <c r="W210" t="s">
        <v>1614</v>
      </c>
      <c r="X210" t="s">
        <v>1263</v>
      </c>
      <c r="Y210" t="s">
        <v>1966</v>
      </c>
      <c r="Z210" t="s">
        <v>1967</v>
      </c>
      <c r="AA210" s="5">
        <v>46267.692361111112</v>
      </c>
      <c r="AB210" t="s">
        <v>1266</v>
      </c>
      <c r="AC210" t="s">
        <v>1267</v>
      </c>
      <c r="AD210" t="s">
        <v>1268</v>
      </c>
      <c r="AE210" t="s">
        <v>1269</v>
      </c>
      <c r="AF210" t="s">
        <v>1270</v>
      </c>
    </row>
    <row r="211" spans="2:32" x14ac:dyDescent="0.25">
      <c r="B211">
        <v>395390</v>
      </c>
      <c r="C211" t="s">
        <v>1609</v>
      </c>
      <c r="D211" t="s">
        <v>1257</v>
      </c>
      <c r="E211" t="s">
        <v>1258</v>
      </c>
      <c r="F211" t="s">
        <v>1259</v>
      </c>
      <c r="G211">
        <v>25378</v>
      </c>
      <c r="H211">
        <v>0</v>
      </c>
      <c r="I211">
        <v>92</v>
      </c>
      <c r="J211">
        <v>0</v>
      </c>
      <c r="K211">
        <v>0</v>
      </c>
      <c r="L211">
        <v>0</v>
      </c>
      <c r="M211">
        <v>2080902.8</v>
      </c>
      <c r="N211" s="4">
        <v>46267</v>
      </c>
      <c r="O211" t="s">
        <v>1968</v>
      </c>
      <c r="P211" t="s">
        <v>477</v>
      </c>
      <c r="S211" t="s">
        <v>1564</v>
      </c>
      <c r="T211" t="s">
        <v>1261</v>
      </c>
      <c r="U211" t="s">
        <v>1262</v>
      </c>
      <c r="V211">
        <v>852648</v>
      </c>
      <c r="W211" t="s">
        <v>1564</v>
      </c>
      <c r="X211" t="s">
        <v>1263</v>
      </c>
      <c r="Y211" t="s">
        <v>1969</v>
      </c>
      <c r="Z211" t="s">
        <v>1970</v>
      </c>
      <c r="AA211" s="5">
        <v>46267.692361111112</v>
      </c>
      <c r="AB211" t="s">
        <v>1266</v>
      </c>
      <c r="AC211" t="s">
        <v>1267</v>
      </c>
      <c r="AD211" t="s">
        <v>1268</v>
      </c>
      <c r="AE211" t="s">
        <v>1269</v>
      </c>
      <c r="AF211" t="s">
        <v>1270</v>
      </c>
    </row>
    <row r="212" spans="2:32" x14ac:dyDescent="0.25">
      <c r="B212">
        <v>110311</v>
      </c>
      <c r="C212" t="s">
        <v>1415</v>
      </c>
      <c r="D212" t="s">
        <v>1416</v>
      </c>
      <c r="E212" t="s">
        <v>1258</v>
      </c>
      <c r="F212" t="s">
        <v>1259</v>
      </c>
      <c r="G212">
        <v>30000</v>
      </c>
      <c r="H212">
        <v>0</v>
      </c>
      <c r="I212">
        <v>15</v>
      </c>
      <c r="J212">
        <v>0</v>
      </c>
      <c r="K212">
        <v>1</v>
      </c>
      <c r="L212">
        <v>0</v>
      </c>
      <c r="M212">
        <v>64469</v>
      </c>
      <c r="N212" s="4">
        <v>46267</v>
      </c>
      <c r="O212" t="s">
        <v>1971</v>
      </c>
      <c r="P212" t="s">
        <v>473</v>
      </c>
      <c r="T212" t="s">
        <v>1261</v>
      </c>
      <c r="U212" t="s">
        <v>1262</v>
      </c>
      <c r="V212">
        <v>4761272</v>
      </c>
      <c r="X212" t="s">
        <v>1263</v>
      </c>
      <c r="Y212" t="s">
        <v>1972</v>
      </c>
      <c r="Z212" t="s">
        <v>1973</v>
      </c>
      <c r="AA212" s="5">
        <v>46267.693055555559</v>
      </c>
      <c r="AB212" t="s">
        <v>1266</v>
      </c>
      <c r="AD212" t="s">
        <v>1268</v>
      </c>
      <c r="AE212" t="s">
        <v>1269</v>
      </c>
      <c r="AF212" t="s">
        <v>1270</v>
      </c>
    </row>
    <row r="213" spans="2:32" x14ac:dyDescent="0.25">
      <c r="B213">
        <v>520420</v>
      </c>
      <c r="C213" t="s">
        <v>1392</v>
      </c>
      <c r="D213" t="s">
        <v>1286</v>
      </c>
      <c r="F213" t="s">
        <v>1259</v>
      </c>
      <c r="G213">
        <v>11859</v>
      </c>
      <c r="H213">
        <v>0</v>
      </c>
      <c r="I213">
        <v>15</v>
      </c>
      <c r="J213">
        <v>23</v>
      </c>
      <c r="K213">
        <v>0</v>
      </c>
      <c r="L213">
        <v>0</v>
      </c>
      <c r="M213">
        <v>39447.224000000002</v>
      </c>
      <c r="N213" s="4">
        <v>46267</v>
      </c>
      <c r="O213" t="s">
        <v>1974</v>
      </c>
      <c r="P213" t="s">
        <v>469</v>
      </c>
      <c r="T213" t="s">
        <v>1261</v>
      </c>
      <c r="U213" t="s">
        <v>1262</v>
      </c>
      <c r="V213">
        <v>520420</v>
      </c>
      <c r="X213" t="s">
        <v>1263</v>
      </c>
      <c r="Y213" t="s">
        <v>1975</v>
      </c>
      <c r="Z213" t="s">
        <v>1976</v>
      </c>
      <c r="AA213" s="5">
        <v>46267.693055555559</v>
      </c>
      <c r="AB213" t="s">
        <v>1266</v>
      </c>
      <c r="AD213" t="s">
        <v>1268</v>
      </c>
      <c r="AE213" t="s">
        <v>1269</v>
      </c>
      <c r="AF213" t="s">
        <v>1270</v>
      </c>
    </row>
    <row r="214" spans="2:32" x14ac:dyDescent="0.25">
      <c r="B214">
        <v>458445</v>
      </c>
      <c r="C214" t="s">
        <v>1332</v>
      </c>
      <c r="D214" t="s">
        <v>1257</v>
      </c>
      <c r="E214" t="s">
        <v>1258</v>
      </c>
      <c r="F214" t="s">
        <v>1259</v>
      </c>
      <c r="G214">
        <v>92000</v>
      </c>
      <c r="H214">
        <v>0</v>
      </c>
      <c r="I214">
        <v>136</v>
      </c>
      <c r="J214">
        <v>0</v>
      </c>
      <c r="K214">
        <v>1</v>
      </c>
      <c r="L214">
        <v>0</v>
      </c>
      <c r="M214">
        <v>331878.68800000002</v>
      </c>
      <c r="N214" s="4">
        <v>46267</v>
      </c>
      <c r="O214" t="s">
        <v>1977</v>
      </c>
      <c r="P214" t="s">
        <v>465</v>
      </c>
      <c r="S214" t="s">
        <v>1719</v>
      </c>
      <c r="T214" t="s">
        <v>1261</v>
      </c>
      <c r="U214" t="s">
        <v>1262</v>
      </c>
      <c r="V214">
        <v>542542</v>
      </c>
      <c r="W214" t="s">
        <v>1719</v>
      </c>
      <c r="X214" t="s">
        <v>1263</v>
      </c>
      <c r="Y214" t="s">
        <v>1978</v>
      </c>
      <c r="Z214">
        <v>18778</v>
      </c>
      <c r="AA214" s="5">
        <v>46267.694444444445</v>
      </c>
      <c r="AB214" t="s">
        <v>1266</v>
      </c>
      <c r="AC214" t="s">
        <v>1267</v>
      </c>
      <c r="AD214" t="s">
        <v>1268</v>
      </c>
      <c r="AE214" t="s">
        <v>1269</v>
      </c>
      <c r="AF214" t="s">
        <v>1270</v>
      </c>
    </row>
    <row r="215" spans="2:32" x14ac:dyDescent="0.25">
      <c r="B215">
        <v>1331783</v>
      </c>
      <c r="C215" t="s">
        <v>1715</v>
      </c>
      <c r="D215" t="s">
        <v>1257</v>
      </c>
      <c r="E215" t="s">
        <v>1258</v>
      </c>
      <c r="F215" t="s">
        <v>1259</v>
      </c>
      <c r="G215">
        <v>73602</v>
      </c>
      <c r="H215">
        <v>0</v>
      </c>
      <c r="I215">
        <v>136</v>
      </c>
      <c r="J215">
        <v>0</v>
      </c>
      <c r="K215">
        <v>1</v>
      </c>
      <c r="L215">
        <v>0</v>
      </c>
      <c r="M215">
        <v>73939.97</v>
      </c>
      <c r="N215" s="4">
        <v>46267</v>
      </c>
      <c r="O215" t="s">
        <v>1979</v>
      </c>
      <c r="P215" t="s">
        <v>460</v>
      </c>
      <c r="S215" t="s">
        <v>1980</v>
      </c>
      <c r="T215" t="s">
        <v>1261</v>
      </c>
      <c r="U215" t="s">
        <v>1262</v>
      </c>
      <c r="V215">
        <v>4037923</v>
      </c>
      <c r="W215" t="s">
        <v>1980</v>
      </c>
      <c r="X215" t="s">
        <v>1263</v>
      </c>
      <c r="Y215" t="s">
        <v>1981</v>
      </c>
      <c r="Z215" t="s">
        <v>464</v>
      </c>
      <c r="AA215" s="5">
        <v>46267.695833333331</v>
      </c>
      <c r="AB215" t="s">
        <v>1266</v>
      </c>
      <c r="AD215" t="s">
        <v>1268</v>
      </c>
      <c r="AE215" t="s">
        <v>1269</v>
      </c>
      <c r="AF215" t="s">
        <v>1270</v>
      </c>
    </row>
    <row r="216" spans="2:32" x14ac:dyDescent="0.25">
      <c r="B216">
        <v>1319094</v>
      </c>
      <c r="C216" t="s">
        <v>1982</v>
      </c>
      <c r="D216" t="s">
        <v>1286</v>
      </c>
      <c r="F216" t="s">
        <v>1259</v>
      </c>
      <c r="G216">
        <v>310</v>
      </c>
      <c r="H216">
        <v>0</v>
      </c>
      <c r="I216">
        <v>10</v>
      </c>
      <c r="J216">
        <v>2</v>
      </c>
      <c r="K216">
        <v>0</v>
      </c>
      <c r="L216">
        <v>0</v>
      </c>
      <c r="M216">
        <v>80111.990000000005</v>
      </c>
      <c r="N216" s="4">
        <v>46267</v>
      </c>
      <c r="O216" t="s">
        <v>1983</v>
      </c>
      <c r="P216" t="s">
        <v>456</v>
      </c>
      <c r="T216" t="s">
        <v>1261</v>
      </c>
      <c r="U216" t="s">
        <v>1262</v>
      </c>
      <c r="V216">
        <v>1319094</v>
      </c>
      <c r="X216" t="s">
        <v>1263</v>
      </c>
      <c r="Y216" t="s">
        <v>1984</v>
      </c>
      <c r="Z216" t="s">
        <v>1985</v>
      </c>
      <c r="AA216" s="5">
        <v>46267.697916666664</v>
      </c>
      <c r="AB216" t="s">
        <v>1266</v>
      </c>
      <c r="AD216" t="s">
        <v>1268</v>
      </c>
      <c r="AE216" t="s">
        <v>1269</v>
      </c>
      <c r="AF216" t="s">
        <v>1270</v>
      </c>
    </row>
    <row r="217" spans="2:32" x14ac:dyDescent="0.25">
      <c r="B217">
        <v>1326697</v>
      </c>
      <c r="C217" t="s">
        <v>1358</v>
      </c>
      <c r="D217" t="s">
        <v>1286</v>
      </c>
      <c r="F217" t="s">
        <v>1259</v>
      </c>
      <c r="G217">
        <v>225</v>
      </c>
      <c r="H217">
        <v>0</v>
      </c>
      <c r="I217">
        <v>10</v>
      </c>
      <c r="J217">
        <v>2</v>
      </c>
      <c r="K217">
        <v>0</v>
      </c>
      <c r="L217">
        <v>0</v>
      </c>
      <c r="M217">
        <v>13144</v>
      </c>
      <c r="N217" s="4">
        <v>46267</v>
      </c>
      <c r="O217" t="s">
        <v>1986</v>
      </c>
      <c r="P217" t="s">
        <v>452</v>
      </c>
      <c r="T217" t="s">
        <v>1261</v>
      </c>
      <c r="U217" t="s">
        <v>1262</v>
      </c>
      <c r="V217">
        <v>1326697</v>
      </c>
      <c r="X217" t="s">
        <v>1263</v>
      </c>
      <c r="Y217" t="s">
        <v>1987</v>
      </c>
      <c r="Z217" t="s">
        <v>1988</v>
      </c>
      <c r="AA217" s="5">
        <v>46267.698611111111</v>
      </c>
      <c r="AB217" t="s">
        <v>1266</v>
      </c>
      <c r="AD217" t="s">
        <v>1268</v>
      </c>
      <c r="AE217" t="s">
        <v>1269</v>
      </c>
      <c r="AF217" t="s">
        <v>1270</v>
      </c>
    </row>
    <row r="218" spans="2:32" x14ac:dyDescent="0.25">
      <c r="B218">
        <v>784176</v>
      </c>
      <c r="C218" t="s">
        <v>1256</v>
      </c>
      <c r="D218" t="s">
        <v>1257</v>
      </c>
      <c r="E218" t="s">
        <v>1258</v>
      </c>
      <c r="F218" t="s">
        <v>1259</v>
      </c>
      <c r="G218">
        <v>2295</v>
      </c>
      <c r="H218">
        <v>0</v>
      </c>
      <c r="I218">
        <v>10</v>
      </c>
      <c r="J218">
        <v>0</v>
      </c>
      <c r="K218">
        <v>1</v>
      </c>
      <c r="L218">
        <v>0</v>
      </c>
      <c r="M218">
        <v>115113.97500000001</v>
      </c>
      <c r="N218" s="4">
        <v>46267</v>
      </c>
      <c r="O218" t="s">
        <v>1989</v>
      </c>
      <c r="P218" t="s">
        <v>448</v>
      </c>
      <c r="T218" t="s">
        <v>1261</v>
      </c>
      <c r="U218" t="s">
        <v>1262</v>
      </c>
      <c r="V218">
        <v>712567</v>
      </c>
      <c r="X218" t="s">
        <v>1263</v>
      </c>
      <c r="Y218" t="s">
        <v>1990</v>
      </c>
      <c r="Z218" t="s">
        <v>1991</v>
      </c>
      <c r="AA218" s="5">
        <v>46267.698611111111</v>
      </c>
      <c r="AB218" t="s">
        <v>1266</v>
      </c>
      <c r="AC218" t="s">
        <v>1267</v>
      </c>
      <c r="AD218" t="s">
        <v>1268</v>
      </c>
      <c r="AE218" t="s">
        <v>1269</v>
      </c>
      <c r="AF218" t="s">
        <v>1270</v>
      </c>
    </row>
    <row r="219" spans="2:32" hidden="1" x14ac:dyDescent="0.25">
      <c r="B219">
        <v>1326697</v>
      </c>
      <c r="C219" t="s">
        <v>1358</v>
      </c>
      <c r="D219" t="s">
        <v>1286</v>
      </c>
      <c r="F219" t="s">
        <v>1259</v>
      </c>
      <c r="G219">
        <v>60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13084</v>
      </c>
      <c r="N219" s="4">
        <v>46267</v>
      </c>
      <c r="O219" t="s">
        <v>1992</v>
      </c>
      <c r="Q219" t="s">
        <v>1993</v>
      </c>
      <c r="S219" t="s">
        <v>1358</v>
      </c>
      <c r="T219" t="s">
        <v>1261</v>
      </c>
      <c r="U219" t="s">
        <v>1262</v>
      </c>
      <c r="V219">
        <v>1326697</v>
      </c>
      <c r="W219" t="s">
        <v>1358</v>
      </c>
      <c r="X219" t="s">
        <v>1263</v>
      </c>
      <c r="Y219" t="s">
        <v>1994</v>
      </c>
      <c r="Z219" t="s">
        <v>1995</v>
      </c>
      <c r="AA219" s="5">
        <v>46267.70208333333</v>
      </c>
      <c r="AB219" t="s">
        <v>1345</v>
      </c>
      <c r="AD219" t="s">
        <v>1346</v>
      </c>
      <c r="AE219" t="s">
        <v>1347</v>
      </c>
      <c r="AF219" t="s">
        <v>1996</v>
      </c>
    </row>
    <row r="220" spans="2:32" x14ac:dyDescent="0.25">
      <c r="B220">
        <v>395390</v>
      </c>
      <c r="C220" t="s">
        <v>1609</v>
      </c>
      <c r="D220" t="s">
        <v>1257</v>
      </c>
      <c r="E220" t="s">
        <v>1258</v>
      </c>
      <c r="F220" t="s">
        <v>1259</v>
      </c>
      <c r="G220">
        <v>10388</v>
      </c>
      <c r="H220">
        <v>0</v>
      </c>
      <c r="I220">
        <v>72</v>
      </c>
      <c r="J220">
        <v>0</v>
      </c>
      <c r="K220">
        <v>0</v>
      </c>
      <c r="L220">
        <v>0</v>
      </c>
      <c r="M220">
        <v>2032168</v>
      </c>
      <c r="N220" s="4">
        <v>46267</v>
      </c>
      <c r="O220" t="s">
        <v>1997</v>
      </c>
      <c r="P220" t="s">
        <v>443</v>
      </c>
      <c r="S220" t="s">
        <v>1614</v>
      </c>
      <c r="T220" t="s">
        <v>1261</v>
      </c>
      <c r="U220" t="s">
        <v>1262</v>
      </c>
      <c r="V220">
        <v>765244</v>
      </c>
      <c r="W220" t="s">
        <v>1614</v>
      </c>
      <c r="X220" t="s">
        <v>1263</v>
      </c>
      <c r="Y220" t="s">
        <v>1998</v>
      </c>
      <c r="Z220" t="s">
        <v>1999</v>
      </c>
      <c r="AA220" s="5">
        <v>46267.705555555556</v>
      </c>
      <c r="AB220" t="s">
        <v>1266</v>
      </c>
      <c r="AC220" t="s">
        <v>1267</v>
      </c>
      <c r="AD220" t="s">
        <v>1268</v>
      </c>
      <c r="AE220" t="s">
        <v>1269</v>
      </c>
      <c r="AF220" t="s">
        <v>1270</v>
      </c>
    </row>
    <row r="221" spans="2:32" x14ac:dyDescent="0.25">
      <c r="B221">
        <v>395390</v>
      </c>
      <c r="C221" t="s">
        <v>1609</v>
      </c>
      <c r="D221" t="s">
        <v>1257</v>
      </c>
      <c r="E221" t="s">
        <v>1258</v>
      </c>
      <c r="F221" t="s">
        <v>1259</v>
      </c>
      <c r="G221">
        <v>25475</v>
      </c>
      <c r="H221">
        <v>0</v>
      </c>
      <c r="I221">
        <v>92</v>
      </c>
      <c r="J221">
        <v>0</v>
      </c>
      <c r="K221">
        <v>0</v>
      </c>
      <c r="L221">
        <v>0</v>
      </c>
      <c r="M221">
        <v>1990118</v>
      </c>
      <c r="N221" s="4">
        <v>46267</v>
      </c>
      <c r="O221" t="s">
        <v>2000</v>
      </c>
      <c r="S221" t="s">
        <v>2001</v>
      </c>
      <c r="T221" t="s">
        <v>1261</v>
      </c>
      <c r="U221" t="s">
        <v>1262</v>
      </c>
      <c r="V221">
        <v>765244</v>
      </c>
      <c r="W221" t="s">
        <v>2001</v>
      </c>
      <c r="X221" t="s">
        <v>1263</v>
      </c>
      <c r="Y221" t="s">
        <v>2002</v>
      </c>
      <c r="Z221" t="s">
        <v>2003</v>
      </c>
      <c r="AA221" s="5">
        <v>46267.705555555556</v>
      </c>
      <c r="AB221" t="s">
        <v>1266</v>
      </c>
      <c r="AC221" t="s">
        <v>1267</v>
      </c>
      <c r="AD221" t="s">
        <v>2004</v>
      </c>
      <c r="AE221" t="s">
        <v>2005</v>
      </c>
      <c r="AF221" t="s">
        <v>2006</v>
      </c>
    </row>
    <row r="222" spans="2:32" x14ac:dyDescent="0.25">
      <c r="B222">
        <v>395390</v>
      </c>
      <c r="C222" t="s">
        <v>1609</v>
      </c>
      <c r="D222" t="s">
        <v>1257</v>
      </c>
      <c r="E222" t="s">
        <v>1258</v>
      </c>
      <c r="F222" t="s">
        <v>1259</v>
      </c>
      <c r="G222">
        <v>10749</v>
      </c>
      <c r="H222">
        <v>0</v>
      </c>
      <c r="I222">
        <v>72</v>
      </c>
      <c r="J222">
        <v>0</v>
      </c>
      <c r="K222">
        <v>0</v>
      </c>
      <c r="L222">
        <v>0</v>
      </c>
      <c r="M222">
        <v>1979297</v>
      </c>
      <c r="N222" s="4">
        <v>46267</v>
      </c>
      <c r="O222" t="s">
        <v>2007</v>
      </c>
      <c r="P222" t="s">
        <v>436</v>
      </c>
      <c r="S222" t="s">
        <v>1614</v>
      </c>
      <c r="T222" t="s">
        <v>1261</v>
      </c>
      <c r="U222" t="s">
        <v>1262</v>
      </c>
      <c r="V222">
        <v>765244</v>
      </c>
      <c r="W222" t="s">
        <v>1614</v>
      </c>
      <c r="X222" t="s">
        <v>1263</v>
      </c>
      <c r="Y222" t="s">
        <v>2008</v>
      </c>
      <c r="Z222" t="s">
        <v>2009</v>
      </c>
      <c r="AA222" s="5">
        <v>46267.705555555556</v>
      </c>
      <c r="AB222" t="s">
        <v>1266</v>
      </c>
      <c r="AC222" t="s">
        <v>1267</v>
      </c>
      <c r="AD222" t="s">
        <v>1268</v>
      </c>
      <c r="AE222" t="s">
        <v>1269</v>
      </c>
      <c r="AF222" t="s">
        <v>1270</v>
      </c>
    </row>
    <row r="223" spans="2:32" x14ac:dyDescent="0.25">
      <c r="B223">
        <v>395390</v>
      </c>
      <c r="C223" t="s">
        <v>1609</v>
      </c>
      <c r="D223" t="s">
        <v>1257</v>
      </c>
      <c r="E223" t="s">
        <v>1258</v>
      </c>
      <c r="F223" t="s">
        <v>1259</v>
      </c>
      <c r="G223">
        <v>6203</v>
      </c>
      <c r="H223">
        <v>0</v>
      </c>
      <c r="I223">
        <v>57</v>
      </c>
      <c r="J223">
        <v>0</v>
      </c>
      <c r="K223">
        <v>0</v>
      </c>
      <c r="L223">
        <v>0</v>
      </c>
      <c r="M223">
        <v>1973037</v>
      </c>
      <c r="N223" s="4">
        <v>46267</v>
      </c>
      <c r="O223" t="s">
        <v>2010</v>
      </c>
      <c r="P223" t="s">
        <v>432</v>
      </c>
      <c r="S223" t="s">
        <v>1614</v>
      </c>
      <c r="T223" t="s">
        <v>1261</v>
      </c>
      <c r="U223" t="s">
        <v>1262</v>
      </c>
      <c r="V223">
        <v>765244</v>
      </c>
      <c r="W223" t="s">
        <v>1614</v>
      </c>
      <c r="X223" t="s">
        <v>1263</v>
      </c>
      <c r="Y223" t="s">
        <v>2011</v>
      </c>
      <c r="Z223" t="s">
        <v>2012</v>
      </c>
      <c r="AA223" s="5">
        <v>46267.705555555556</v>
      </c>
      <c r="AB223" t="s">
        <v>1266</v>
      </c>
      <c r="AC223" t="s">
        <v>1267</v>
      </c>
      <c r="AD223" t="s">
        <v>1268</v>
      </c>
      <c r="AE223" t="s">
        <v>1269</v>
      </c>
      <c r="AF223" t="s">
        <v>1270</v>
      </c>
    </row>
    <row r="224" spans="2:32" x14ac:dyDescent="0.25">
      <c r="B224">
        <v>395390</v>
      </c>
      <c r="C224" t="s">
        <v>1609</v>
      </c>
      <c r="D224" t="s">
        <v>1257</v>
      </c>
      <c r="E224" t="s">
        <v>1258</v>
      </c>
      <c r="F224" t="s">
        <v>1259</v>
      </c>
      <c r="G224">
        <v>17470</v>
      </c>
      <c r="H224">
        <v>0</v>
      </c>
      <c r="I224">
        <v>82</v>
      </c>
      <c r="J224">
        <v>0</v>
      </c>
      <c r="K224">
        <v>0</v>
      </c>
      <c r="L224">
        <v>0</v>
      </c>
      <c r="M224">
        <v>1934374</v>
      </c>
      <c r="N224" s="4">
        <v>46267</v>
      </c>
      <c r="O224" t="s">
        <v>2013</v>
      </c>
      <c r="P224" t="s">
        <v>428</v>
      </c>
      <c r="S224" t="s">
        <v>1614</v>
      </c>
      <c r="T224" t="s">
        <v>1261</v>
      </c>
      <c r="U224" t="s">
        <v>1262</v>
      </c>
      <c r="V224">
        <v>765244</v>
      </c>
      <c r="W224" t="s">
        <v>1614</v>
      </c>
      <c r="X224" t="s">
        <v>1263</v>
      </c>
      <c r="Y224" t="s">
        <v>2014</v>
      </c>
      <c r="Z224" t="s">
        <v>2015</v>
      </c>
      <c r="AA224" s="5">
        <v>46267.705555555556</v>
      </c>
      <c r="AB224" t="s">
        <v>1266</v>
      </c>
      <c r="AC224" t="s">
        <v>1267</v>
      </c>
      <c r="AD224" t="s">
        <v>1268</v>
      </c>
      <c r="AE224" t="s">
        <v>1269</v>
      </c>
      <c r="AF224" t="s">
        <v>1270</v>
      </c>
    </row>
    <row r="225" spans="1:32" x14ac:dyDescent="0.25">
      <c r="B225">
        <v>395390</v>
      </c>
      <c r="C225" t="s">
        <v>1609</v>
      </c>
      <c r="D225" t="s">
        <v>1257</v>
      </c>
      <c r="E225" t="s">
        <v>1258</v>
      </c>
      <c r="F225" t="s">
        <v>1259</v>
      </c>
      <c r="G225">
        <v>24606</v>
      </c>
      <c r="H225">
        <v>0</v>
      </c>
      <c r="I225">
        <v>87</v>
      </c>
      <c r="J225">
        <v>0</v>
      </c>
      <c r="K225">
        <v>0</v>
      </c>
      <c r="L225">
        <v>0</v>
      </c>
      <c r="M225">
        <v>1896645</v>
      </c>
      <c r="N225" s="4">
        <v>46267</v>
      </c>
      <c r="O225" t="s">
        <v>2016</v>
      </c>
      <c r="P225" t="s">
        <v>425</v>
      </c>
      <c r="S225" t="s">
        <v>1614</v>
      </c>
      <c r="T225" t="s">
        <v>1261</v>
      </c>
      <c r="U225" t="s">
        <v>1262</v>
      </c>
      <c r="V225">
        <v>765244</v>
      </c>
      <c r="W225" t="s">
        <v>1614</v>
      </c>
      <c r="X225" t="s">
        <v>1263</v>
      </c>
      <c r="Y225" t="s">
        <v>2017</v>
      </c>
      <c r="Z225" t="s">
        <v>2018</v>
      </c>
      <c r="AA225" s="5">
        <v>46267.705555555556</v>
      </c>
      <c r="AB225" t="s">
        <v>1266</v>
      </c>
      <c r="AC225" t="s">
        <v>1267</v>
      </c>
      <c r="AD225" t="s">
        <v>1268</v>
      </c>
      <c r="AE225" t="s">
        <v>1269</v>
      </c>
      <c r="AF225" t="s">
        <v>1270</v>
      </c>
    </row>
    <row r="226" spans="1:32" x14ac:dyDescent="0.25">
      <c r="B226">
        <v>395390</v>
      </c>
      <c r="C226" t="s">
        <v>1609</v>
      </c>
      <c r="D226" t="s">
        <v>1257</v>
      </c>
      <c r="E226" t="s">
        <v>1258</v>
      </c>
      <c r="F226" t="s">
        <v>1259</v>
      </c>
      <c r="G226">
        <v>16671</v>
      </c>
      <c r="H226">
        <v>0</v>
      </c>
      <c r="I226">
        <v>82</v>
      </c>
      <c r="J226">
        <v>0</v>
      </c>
      <c r="K226">
        <v>0</v>
      </c>
      <c r="L226">
        <v>0</v>
      </c>
      <c r="M226">
        <v>1872696</v>
      </c>
      <c r="N226" s="4">
        <v>46267</v>
      </c>
      <c r="O226" t="s">
        <v>2019</v>
      </c>
      <c r="P226" t="s">
        <v>421</v>
      </c>
      <c r="S226" t="s">
        <v>1614</v>
      </c>
      <c r="T226" t="s">
        <v>1261</v>
      </c>
      <c r="U226" t="s">
        <v>1262</v>
      </c>
      <c r="V226">
        <v>765244</v>
      </c>
      <c r="W226" t="s">
        <v>1614</v>
      </c>
      <c r="X226" t="s">
        <v>1263</v>
      </c>
      <c r="Y226" t="s">
        <v>2020</v>
      </c>
      <c r="Z226" t="s">
        <v>2021</v>
      </c>
      <c r="AA226" s="5">
        <v>46267.705555555556</v>
      </c>
      <c r="AB226" t="s">
        <v>1266</v>
      </c>
      <c r="AC226" t="s">
        <v>1267</v>
      </c>
      <c r="AD226" t="s">
        <v>1268</v>
      </c>
      <c r="AE226" t="s">
        <v>1269</v>
      </c>
      <c r="AF226" t="s">
        <v>1270</v>
      </c>
    </row>
    <row r="227" spans="1:32" x14ac:dyDescent="0.25">
      <c r="B227">
        <v>395390</v>
      </c>
      <c r="C227" t="s">
        <v>1609</v>
      </c>
      <c r="D227" t="s">
        <v>1257</v>
      </c>
      <c r="E227" t="s">
        <v>1258</v>
      </c>
      <c r="F227" t="s">
        <v>1259</v>
      </c>
      <c r="G227">
        <v>4888</v>
      </c>
      <c r="H227">
        <v>0</v>
      </c>
      <c r="I227">
        <v>49</v>
      </c>
      <c r="J227">
        <v>0</v>
      </c>
      <c r="K227">
        <v>0</v>
      </c>
      <c r="L227">
        <v>0</v>
      </c>
      <c r="M227">
        <v>1702707</v>
      </c>
      <c r="N227" s="4">
        <v>46267</v>
      </c>
      <c r="O227" t="s">
        <v>2022</v>
      </c>
      <c r="P227" t="s">
        <v>417</v>
      </c>
      <c r="S227" t="s">
        <v>1614</v>
      </c>
      <c r="T227" t="s">
        <v>1261</v>
      </c>
      <c r="U227" t="s">
        <v>1262</v>
      </c>
      <c r="V227">
        <v>765244</v>
      </c>
      <c r="W227" t="s">
        <v>1614</v>
      </c>
      <c r="X227" t="s">
        <v>1263</v>
      </c>
      <c r="Y227" t="s">
        <v>2023</v>
      </c>
      <c r="Z227" t="s">
        <v>2024</v>
      </c>
      <c r="AA227" s="5">
        <v>46267.705555555556</v>
      </c>
      <c r="AB227" t="s">
        <v>1266</v>
      </c>
      <c r="AC227" t="s">
        <v>1267</v>
      </c>
      <c r="AD227" t="s">
        <v>1268</v>
      </c>
      <c r="AE227" t="s">
        <v>1269</v>
      </c>
      <c r="AF227" t="s">
        <v>1270</v>
      </c>
    </row>
    <row r="228" spans="1:32" x14ac:dyDescent="0.25">
      <c r="B228">
        <v>395390</v>
      </c>
      <c r="C228" t="s">
        <v>1609</v>
      </c>
      <c r="D228" t="s">
        <v>1257</v>
      </c>
      <c r="E228" t="s">
        <v>1258</v>
      </c>
      <c r="F228" t="s">
        <v>1259</v>
      </c>
      <c r="G228">
        <v>5236</v>
      </c>
      <c r="H228">
        <v>0</v>
      </c>
      <c r="I228">
        <v>57</v>
      </c>
      <c r="J228">
        <v>0</v>
      </c>
      <c r="K228">
        <v>0</v>
      </c>
      <c r="L228">
        <v>0</v>
      </c>
      <c r="M228">
        <v>1446281</v>
      </c>
      <c r="N228" s="4">
        <v>46267</v>
      </c>
      <c r="O228" t="s">
        <v>2025</v>
      </c>
      <c r="P228" t="s">
        <v>413</v>
      </c>
      <c r="S228" t="s">
        <v>1614</v>
      </c>
      <c r="T228" t="s">
        <v>1261</v>
      </c>
      <c r="U228" t="s">
        <v>1262</v>
      </c>
      <c r="V228">
        <v>765244</v>
      </c>
      <c r="W228" t="s">
        <v>1614</v>
      </c>
      <c r="X228" t="s">
        <v>1263</v>
      </c>
      <c r="Y228" t="s">
        <v>2026</v>
      </c>
      <c r="Z228" t="s">
        <v>2027</v>
      </c>
      <c r="AA228" s="5">
        <v>46267.705555555556</v>
      </c>
      <c r="AB228" t="s">
        <v>1266</v>
      </c>
      <c r="AC228" t="s">
        <v>1267</v>
      </c>
      <c r="AD228" t="s">
        <v>1268</v>
      </c>
      <c r="AE228" t="s">
        <v>1269</v>
      </c>
      <c r="AF228" t="s">
        <v>1270</v>
      </c>
    </row>
    <row r="229" spans="1:32" x14ac:dyDescent="0.25">
      <c r="B229">
        <v>395390</v>
      </c>
      <c r="C229" t="s">
        <v>1609</v>
      </c>
      <c r="D229" t="s">
        <v>1257</v>
      </c>
      <c r="E229" t="s">
        <v>1258</v>
      </c>
      <c r="F229" t="s">
        <v>1259</v>
      </c>
      <c r="G229">
        <v>3753</v>
      </c>
      <c r="H229">
        <v>0</v>
      </c>
      <c r="I229">
        <v>49</v>
      </c>
      <c r="J229">
        <v>0</v>
      </c>
      <c r="K229">
        <v>0</v>
      </c>
      <c r="L229">
        <v>0</v>
      </c>
      <c r="M229">
        <v>1330114.8</v>
      </c>
      <c r="N229" s="4">
        <v>46267</v>
      </c>
      <c r="O229" t="s">
        <v>2028</v>
      </c>
      <c r="P229" t="s">
        <v>409</v>
      </c>
      <c r="S229" t="s">
        <v>1614</v>
      </c>
      <c r="T229" t="s">
        <v>1261</v>
      </c>
      <c r="U229" t="s">
        <v>1262</v>
      </c>
      <c r="V229">
        <v>765244</v>
      </c>
      <c r="W229" t="s">
        <v>1614</v>
      </c>
      <c r="X229" t="s">
        <v>1263</v>
      </c>
      <c r="Y229" t="s">
        <v>2029</v>
      </c>
      <c r="Z229" t="s">
        <v>2030</v>
      </c>
      <c r="AA229" s="5">
        <v>46267.705555555556</v>
      </c>
      <c r="AB229" t="s">
        <v>1266</v>
      </c>
      <c r="AC229" t="s">
        <v>1267</v>
      </c>
      <c r="AD229" t="s">
        <v>1268</v>
      </c>
      <c r="AE229" t="s">
        <v>1269</v>
      </c>
      <c r="AF229" t="s">
        <v>1270</v>
      </c>
    </row>
    <row r="230" spans="1:32" x14ac:dyDescent="0.25">
      <c r="B230">
        <v>395390</v>
      </c>
      <c r="C230" t="s">
        <v>1609</v>
      </c>
      <c r="D230" t="s">
        <v>1257</v>
      </c>
      <c r="E230" t="s">
        <v>1258</v>
      </c>
      <c r="F230" t="s">
        <v>1259</v>
      </c>
      <c r="G230">
        <v>17720</v>
      </c>
      <c r="H230">
        <v>0</v>
      </c>
      <c r="I230">
        <v>82</v>
      </c>
      <c r="J230">
        <v>0</v>
      </c>
      <c r="K230">
        <v>0</v>
      </c>
      <c r="L230">
        <v>0</v>
      </c>
      <c r="M230">
        <v>1170888.8</v>
      </c>
      <c r="N230" s="4">
        <v>46267</v>
      </c>
      <c r="O230" t="s">
        <v>2031</v>
      </c>
      <c r="P230" t="s">
        <v>401</v>
      </c>
      <c r="S230" t="s">
        <v>1614</v>
      </c>
      <c r="T230" t="s">
        <v>1261</v>
      </c>
      <c r="U230" t="s">
        <v>1262</v>
      </c>
      <c r="V230">
        <v>765244</v>
      </c>
      <c r="W230" t="s">
        <v>1614</v>
      </c>
      <c r="X230" t="s">
        <v>1263</v>
      </c>
      <c r="Y230" t="s">
        <v>2032</v>
      </c>
      <c r="Z230" t="s">
        <v>2033</v>
      </c>
      <c r="AA230" s="5">
        <v>46267.705555555556</v>
      </c>
      <c r="AB230" t="s">
        <v>1266</v>
      </c>
      <c r="AC230" t="s">
        <v>1267</v>
      </c>
      <c r="AD230" t="s">
        <v>1268</v>
      </c>
      <c r="AE230" t="s">
        <v>1269</v>
      </c>
      <c r="AF230" t="s">
        <v>1270</v>
      </c>
    </row>
    <row r="231" spans="1:32" x14ac:dyDescent="0.25">
      <c r="B231">
        <v>395390</v>
      </c>
      <c r="C231" t="s">
        <v>1609</v>
      </c>
      <c r="D231" t="s">
        <v>1257</v>
      </c>
      <c r="E231" t="s">
        <v>1258</v>
      </c>
      <c r="F231" t="s">
        <v>1259</v>
      </c>
      <c r="G231">
        <v>27669</v>
      </c>
      <c r="H231">
        <v>0</v>
      </c>
      <c r="I231">
        <v>92</v>
      </c>
      <c r="J231">
        <v>0</v>
      </c>
      <c r="K231">
        <v>0</v>
      </c>
      <c r="L231">
        <v>0</v>
      </c>
      <c r="M231">
        <v>1119273.8</v>
      </c>
      <c r="N231" s="4">
        <v>46267</v>
      </c>
      <c r="O231" t="s">
        <v>2034</v>
      </c>
      <c r="P231" t="s">
        <v>405</v>
      </c>
      <c r="S231" t="s">
        <v>1614</v>
      </c>
      <c r="T231" t="s">
        <v>1261</v>
      </c>
      <c r="U231" t="s">
        <v>1262</v>
      </c>
      <c r="V231">
        <v>765244</v>
      </c>
      <c r="W231" t="s">
        <v>1614</v>
      </c>
      <c r="X231" t="s">
        <v>1263</v>
      </c>
      <c r="Y231" t="s">
        <v>2035</v>
      </c>
      <c r="Z231" t="s">
        <v>2036</v>
      </c>
      <c r="AA231" s="5">
        <v>46267.705555555556</v>
      </c>
      <c r="AB231" t="s">
        <v>1266</v>
      </c>
      <c r="AC231" t="s">
        <v>1267</v>
      </c>
      <c r="AD231" t="s">
        <v>1268</v>
      </c>
      <c r="AE231" t="s">
        <v>1269</v>
      </c>
      <c r="AF231" t="s">
        <v>1270</v>
      </c>
    </row>
    <row r="232" spans="1:32" x14ac:dyDescent="0.25">
      <c r="B232">
        <v>395390</v>
      </c>
      <c r="C232" t="s">
        <v>1609</v>
      </c>
      <c r="D232" t="s">
        <v>1257</v>
      </c>
      <c r="E232" t="s">
        <v>1258</v>
      </c>
      <c r="F232" t="s">
        <v>1259</v>
      </c>
      <c r="G232">
        <v>3007</v>
      </c>
      <c r="H232">
        <v>0</v>
      </c>
      <c r="I232">
        <v>40</v>
      </c>
      <c r="J232">
        <v>0</v>
      </c>
      <c r="K232">
        <v>0</v>
      </c>
      <c r="L232">
        <v>0</v>
      </c>
      <c r="M232">
        <v>1104911.8</v>
      </c>
      <c r="N232" s="4">
        <v>46267</v>
      </c>
      <c r="O232" t="s">
        <v>2037</v>
      </c>
      <c r="P232" t="s">
        <v>397</v>
      </c>
      <c r="S232" t="s">
        <v>1614</v>
      </c>
      <c r="T232" t="s">
        <v>1261</v>
      </c>
      <c r="U232" t="s">
        <v>1262</v>
      </c>
      <c r="V232">
        <v>765244</v>
      </c>
      <c r="W232" t="s">
        <v>1614</v>
      </c>
      <c r="X232" t="s">
        <v>1263</v>
      </c>
      <c r="Y232" t="s">
        <v>2038</v>
      </c>
      <c r="Z232" t="s">
        <v>2039</v>
      </c>
      <c r="AA232" s="5">
        <v>46267.705555555556</v>
      </c>
      <c r="AB232" t="s">
        <v>1266</v>
      </c>
      <c r="AC232" t="s">
        <v>1267</v>
      </c>
      <c r="AD232" t="s">
        <v>1268</v>
      </c>
      <c r="AE232" t="s">
        <v>1269</v>
      </c>
      <c r="AF232" t="s">
        <v>1270</v>
      </c>
    </row>
    <row r="233" spans="1:32" x14ac:dyDescent="0.25">
      <c r="B233">
        <v>395390</v>
      </c>
      <c r="C233" t="s">
        <v>1609</v>
      </c>
      <c r="D233" t="s">
        <v>1257</v>
      </c>
      <c r="E233" t="s">
        <v>1258</v>
      </c>
      <c r="F233" t="s">
        <v>1259</v>
      </c>
      <c r="G233">
        <v>9290</v>
      </c>
      <c r="H233">
        <v>0</v>
      </c>
      <c r="I233">
        <v>63</v>
      </c>
      <c r="J233">
        <v>0</v>
      </c>
      <c r="K233">
        <v>0</v>
      </c>
      <c r="L233">
        <v>0</v>
      </c>
      <c r="M233">
        <v>1076408.8</v>
      </c>
      <c r="N233" s="4">
        <v>46267</v>
      </c>
      <c r="O233" t="s">
        <v>2040</v>
      </c>
      <c r="P233" t="s">
        <v>392</v>
      </c>
      <c r="S233" t="s">
        <v>1627</v>
      </c>
      <c r="T233" t="s">
        <v>1261</v>
      </c>
      <c r="U233" t="s">
        <v>1262</v>
      </c>
      <c r="V233">
        <v>350050</v>
      </c>
      <c r="W233" t="s">
        <v>1627</v>
      </c>
      <c r="X233" t="s">
        <v>1263</v>
      </c>
      <c r="Y233" t="s">
        <v>2041</v>
      </c>
      <c r="Z233" t="s">
        <v>2042</v>
      </c>
      <c r="AA233" s="5">
        <v>46267.705555555556</v>
      </c>
      <c r="AB233" t="s">
        <v>1266</v>
      </c>
      <c r="AC233" t="s">
        <v>1267</v>
      </c>
      <c r="AD233" t="s">
        <v>1268</v>
      </c>
      <c r="AE233" t="s">
        <v>1269</v>
      </c>
      <c r="AF233" t="s">
        <v>1270</v>
      </c>
    </row>
    <row r="234" spans="1:32" x14ac:dyDescent="0.25">
      <c r="B234">
        <v>395390</v>
      </c>
      <c r="C234" t="s">
        <v>1609</v>
      </c>
      <c r="D234" t="s">
        <v>1257</v>
      </c>
      <c r="E234" t="s">
        <v>1258</v>
      </c>
      <c r="F234" t="s">
        <v>1259</v>
      </c>
      <c r="G234">
        <v>3655</v>
      </c>
      <c r="H234">
        <v>0</v>
      </c>
      <c r="I234">
        <v>49</v>
      </c>
      <c r="J234">
        <v>0</v>
      </c>
      <c r="K234">
        <v>0</v>
      </c>
      <c r="L234">
        <v>0</v>
      </c>
      <c r="M234">
        <v>1035034.8</v>
      </c>
      <c r="N234" s="4">
        <v>46267</v>
      </c>
      <c r="O234" t="s">
        <v>2043</v>
      </c>
      <c r="P234" t="s">
        <v>389</v>
      </c>
      <c r="S234" t="s">
        <v>1614</v>
      </c>
      <c r="T234" t="s">
        <v>1261</v>
      </c>
      <c r="U234" t="s">
        <v>1262</v>
      </c>
      <c r="V234">
        <v>765244</v>
      </c>
      <c r="W234" t="s">
        <v>1614</v>
      </c>
      <c r="X234" t="s">
        <v>1263</v>
      </c>
      <c r="Y234" t="s">
        <v>2044</v>
      </c>
      <c r="Z234" t="s">
        <v>2045</v>
      </c>
      <c r="AA234" s="5">
        <v>46267.705555555556</v>
      </c>
      <c r="AB234" t="s">
        <v>1266</v>
      </c>
      <c r="AC234" t="s">
        <v>1267</v>
      </c>
      <c r="AD234" t="s">
        <v>1268</v>
      </c>
      <c r="AE234" t="s">
        <v>1269</v>
      </c>
      <c r="AF234" t="s">
        <v>1270</v>
      </c>
    </row>
    <row r="235" spans="1:32" x14ac:dyDescent="0.25">
      <c r="B235">
        <v>395390</v>
      </c>
      <c r="C235" t="s">
        <v>1609</v>
      </c>
      <c r="D235" t="s">
        <v>1257</v>
      </c>
      <c r="E235" t="s">
        <v>1258</v>
      </c>
      <c r="F235" t="s">
        <v>1259</v>
      </c>
      <c r="G235">
        <v>1721</v>
      </c>
      <c r="H235">
        <v>0</v>
      </c>
      <c r="I235">
        <v>35</v>
      </c>
      <c r="J235">
        <v>0</v>
      </c>
      <c r="K235">
        <v>0</v>
      </c>
      <c r="L235">
        <v>0</v>
      </c>
      <c r="M235">
        <v>1030331.8</v>
      </c>
      <c r="N235" s="4">
        <v>46267</v>
      </c>
      <c r="O235" t="s">
        <v>2046</v>
      </c>
      <c r="P235" t="s">
        <v>384</v>
      </c>
      <c r="S235" t="s">
        <v>1627</v>
      </c>
      <c r="T235" t="s">
        <v>1261</v>
      </c>
      <c r="U235" t="s">
        <v>1262</v>
      </c>
      <c r="V235">
        <v>350050</v>
      </c>
      <c r="W235" t="s">
        <v>1627</v>
      </c>
      <c r="X235" t="s">
        <v>1263</v>
      </c>
      <c r="Y235" t="s">
        <v>2047</v>
      </c>
      <c r="Z235" t="s">
        <v>2048</v>
      </c>
      <c r="AA235" s="5">
        <v>46267.705555555556</v>
      </c>
      <c r="AB235" t="s">
        <v>1266</v>
      </c>
      <c r="AC235" t="s">
        <v>1267</v>
      </c>
      <c r="AD235" t="s">
        <v>1268</v>
      </c>
      <c r="AE235" t="s">
        <v>1269</v>
      </c>
      <c r="AF235" t="s">
        <v>1270</v>
      </c>
    </row>
    <row r="236" spans="1:32" x14ac:dyDescent="0.25">
      <c r="B236">
        <v>395390</v>
      </c>
      <c r="C236" t="s">
        <v>1609</v>
      </c>
      <c r="D236" t="s">
        <v>1257</v>
      </c>
      <c r="E236" t="s">
        <v>1258</v>
      </c>
      <c r="F236" t="s">
        <v>1259</v>
      </c>
      <c r="G236">
        <v>11282</v>
      </c>
      <c r="H236">
        <v>0</v>
      </c>
      <c r="I236">
        <v>72</v>
      </c>
      <c r="J236">
        <v>0</v>
      </c>
      <c r="K236">
        <v>0</v>
      </c>
      <c r="L236">
        <v>0</v>
      </c>
      <c r="M236">
        <v>863593.8</v>
      </c>
      <c r="N236" s="4">
        <v>46267</v>
      </c>
      <c r="O236" t="s">
        <v>2049</v>
      </c>
      <c r="P236" t="s">
        <v>380</v>
      </c>
      <c r="S236" t="s">
        <v>1614</v>
      </c>
      <c r="T236" t="s">
        <v>1261</v>
      </c>
      <c r="U236" t="s">
        <v>1262</v>
      </c>
      <c r="V236">
        <v>765244</v>
      </c>
      <c r="W236" t="s">
        <v>1614</v>
      </c>
      <c r="X236" t="s">
        <v>1263</v>
      </c>
      <c r="Y236" t="s">
        <v>2050</v>
      </c>
      <c r="Z236" t="s">
        <v>2051</v>
      </c>
      <c r="AA236" s="5">
        <v>46267.705555555556</v>
      </c>
      <c r="AB236" t="s">
        <v>1266</v>
      </c>
      <c r="AC236" t="s">
        <v>1267</v>
      </c>
      <c r="AD236" t="s">
        <v>1268</v>
      </c>
      <c r="AE236" t="s">
        <v>1269</v>
      </c>
      <c r="AF236" t="s">
        <v>1270</v>
      </c>
    </row>
    <row r="237" spans="1:32" x14ac:dyDescent="0.25">
      <c r="B237">
        <v>395390</v>
      </c>
      <c r="C237" t="s">
        <v>1609</v>
      </c>
      <c r="D237" t="s">
        <v>1257</v>
      </c>
      <c r="E237" t="s">
        <v>1258</v>
      </c>
      <c r="F237" t="s">
        <v>1259</v>
      </c>
      <c r="G237">
        <v>387</v>
      </c>
      <c r="H237">
        <v>0</v>
      </c>
      <c r="I237">
        <v>10</v>
      </c>
      <c r="J237">
        <v>0</v>
      </c>
      <c r="K237">
        <v>0</v>
      </c>
      <c r="L237">
        <v>0</v>
      </c>
      <c r="M237">
        <v>796756.8</v>
      </c>
      <c r="N237" s="4">
        <v>46267</v>
      </c>
      <c r="O237" t="s">
        <v>2052</v>
      </c>
      <c r="P237" t="s">
        <v>375</v>
      </c>
      <c r="S237" t="s">
        <v>1564</v>
      </c>
      <c r="T237" t="s">
        <v>1261</v>
      </c>
      <c r="U237" t="s">
        <v>1262</v>
      </c>
      <c r="V237">
        <v>852648</v>
      </c>
      <c r="W237" t="s">
        <v>1564</v>
      </c>
      <c r="X237" t="s">
        <v>1263</v>
      </c>
      <c r="Y237" t="s">
        <v>2053</v>
      </c>
      <c r="Z237" t="s">
        <v>2054</v>
      </c>
      <c r="AA237" s="5">
        <v>46267.706250000003</v>
      </c>
      <c r="AB237" t="s">
        <v>1266</v>
      </c>
      <c r="AC237" t="s">
        <v>1267</v>
      </c>
      <c r="AD237" t="s">
        <v>1268</v>
      </c>
      <c r="AE237" t="s">
        <v>1269</v>
      </c>
      <c r="AF237" t="s">
        <v>1270</v>
      </c>
    </row>
    <row r="238" spans="1:32" x14ac:dyDescent="0.25">
      <c r="A238">
        <v>756756</v>
      </c>
      <c r="B238">
        <v>254115223108</v>
      </c>
      <c r="C238" t="s">
        <v>2055</v>
      </c>
      <c r="D238" t="s">
        <v>1286</v>
      </c>
      <c r="F238" t="s">
        <v>1259</v>
      </c>
      <c r="G238">
        <v>300</v>
      </c>
      <c r="H238">
        <v>0</v>
      </c>
      <c r="I238">
        <v>10</v>
      </c>
      <c r="J238">
        <v>0</v>
      </c>
      <c r="K238">
        <v>0</v>
      </c>
      <c r="L238">
        <v>0</v>
      </c>
      <c r="M238">
        <v>28101</v>
      </c>
      <c r="N238" s="4">
        <v>46267</v>
      </c>
      <c r="O238" t="s">
        <v>2056</v>
      </c>
      <c r="P238" t="s">
        <v>371</v>
      </c>
      <c r="T238" t="s">
        <v>1261</v>
      </c>
      <c r="U238" t="s">
        <v>1262</v>
      </c>
      <c r="V238">
        <v>3017887</v>
      </c>
      <c r="X238" t="s">
        <v>1263</v>
      </c>
      <c r="Y238" t="s">
        <v>2057</v>
      </c>
      <c r="Z238" t="s">
        <v>2057</v>
      </c>
      <c r="AA238" s="5">
        <v>46267.707638888889</v>
      </c>
      <c r="AB238" t="s">
        <v>1266</v>
      </c>
      <c r="AC238" t="s">
        <v>1293</v>
      </c>
      <c r="AD238" t="s">
        <v>1268</v>
      </c>
      <c r="AE238" t="s">
        <v>1269</v>
      </c>
      <c r="AF238" t="s">
        <v>1270</v>
      </c>
    </row>
    <row r="239" spans="1:32" x14ac:dyDescent="0.25">
      <c r="B239">
        <v>1440382</v>
      </c>
      <c r="C239" t="s">
        <v>1711</v>
      </c>
      <c r="D239" t="s">
        <v>1286</v>
      </c>
      <c r="F239" t="s">
        <v>1259</v>
      </c>
      <c r="G239">
        <v>95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1420</v>
      </c>
      <c r="N239" s="4">
        <v>46267</v>
      </c>
      <c r="O239" t="s">
        <v>2058</v>
      </c>
      <c r="P239" t="s">
        <v>367</v>
      </c>
      <c r="T239" t="s">
        <v>1261</v>
      </c>
      <c r="U239" t="s">
        <v>1262</v>
      </c>
      <c r="V239">
        <v>1440382</v>
      </c>
      <c r="X239" t="s">
        <v>1263</v>
      </c>
      <c r="Y239" t="s">
        <v>2059</v>
      </c>
      <c r="Z239" t="s">
        <v>2060</v>
      </c>
      <c r="AA239" s="5">
        <v>46267.710416666669</v>
      </c>
      <c r="AB239" t="s">
        <v>1266</v>
      </c>
      <c r="AD239" t="s">
        <v>1268</v>
      </c>
      <c r="AE239" t="s">
        <v>1269</v>
      </c>
      <c r="AF239" t="s">
        <v>1270</v>
      </c>
    </row>
    <row r="240" spans="1:32" hidden="1" x14ac:dyDescent="0.25">
      <c r="B240">
        <v>395390</v>
      </c>
      <c r="C240" t="s">
        <v>1609</v>
      </c>
      <c r="D240" t="s">
        <v>1257</v>
      </c>
      <c r="E240" t="s">
        <v>1258</v>
      </c>
      <c r="F240" t="s">
        <v>1259</v>
      </c>
      <c r="G240">
        <v>6962</v>
      </c>
      <c r="H240">
        <v>0</v>
      </c>
      <c r="I240">
        <v>57</v>
      </c>
      <c r="J240">
        <v>0</v>
      </c>
      <c r="K240">
        <v>0</v>
      </c>
      <c r="L240">
        <v>0</v>
      </c>
      <c r="M240">
        <v>718137.8</v>
      </c>
      <c r="N240" s="4">
        <v>46267</v>
      </c>
      <c r="O240" t="s">
        <v>2061</v>
      </c>
      <c r="Q240" t="s">
        <v>2062</v>
      </c>
      <c r="T240" t="s">
        <v>1261</v>
      </c>
      <c r="U240" t="s">
        <v>1262</v>
      </c>
      <c r="V240">
        <v>874950</v>
      </c>
      <c r="X240" t="s">
        <v>1263</v>
      </c>
      <c r="Y240" t="s">
        <v>2063</v>
      </c>
      <c r="Z240" t="s">
        <v>2064</v>
      </c>
      <c r="AA240" s="5">
        <v>46267.715277777781</v>
      </c>
      <c r="AB240" t="s">
        <v>1345</v>
      </c>
      <c r="AC240" t="s">
        <v>1267</v>
      </c>
      <c r="AD240" t="s">
        <v>1346</v>
      </c>
      <c r="AE240" t="s">
        <v>1347</v>
      </c>
      <c r="AF240" t="s">
        <v>1819</v>
      </c>
    </row>
    <row r="241" spans="2:32" x14ac:dyDescent="0.25">
      <c r="B241">
        <v>395390</v>
      </c>
      <c r="C241" t="s">
        <v>1609</v>
      </c>
      <c r="D241" t="s">
        <v>1257</v>
      </c>
      <c r="E241" t="s">
        <v>1258</v>
      </c>
      <c r="F241" t="s">
        <v>1259</v>
      </c>
      <c r="G241">
        <v>21284</v>
      </c>
      <c r="H241">
        <v>0</v>
      </c>
      <c r="I241">
        <v>87</v>
      </c>
      <c r="J241">
        <v>0</v>
      </c>
      <c r="K241">
        <v>0</v>
      </c>
      <c r="L241">
        <v>0</v>
      </c>
      <c r="M241">
        <v>696766.8</v>
      </c>
      <c r="N241" s="4">
        <v>46267</v>
      </c>
      <c r="O241" t="s">
        <v>2065</v>
      </c>
      <c r="S241" t="s">
        <v>2001</v>
      </c>
      <c r="T241" t="s">
        <v>1261</v>
      </c>
      <c r="U241" t="s">
        <v>1262</v>
      </c>
      <c r="V241">
        <v>765244</v>
      </c>
      <c r="W241" t="s">
        <v>2001</v>
      </c>
      <c r="X241" t="s">
        <v>1263</v>
      </c>
      <c r="Y241" t="s">
        <v>2066</v>
      </c>
      <c r="Z241" t="s">
        <v>2067</v>
      </c>
      <c r="AA241" s="5">
        <v>46267.715277777781</v>
      </c>
      <c r="AB241" t="s">
        <v>1266</v>
      </c>
      <c r="AC241" t="s">
        <v>1267</v>
      </c>
      <c r="AD241" t="s">
        <v>2004</v>
      </c>
      <c r="AE241" t="s">
        <v>2005</v>
      </c>
      <c r="AF241" t="s">
        <v>2006</v>
      </c>
    </row>
    <row r="242" spans="2:32" x14ac:dyDescent="0.25">
      <c r="B242">
        <v>395390</v>
      </c>
      <c r="C242" t="s">
        <v>1609</v>
      </c>
      <c r="D242" t="s">
        <v>1257</v>
      </c>
      <c r="E242" t="s">
        <v>1258</v>
      </c>
      <c r="F242" t="s">
        <v>1259</v>
      </c>
      <c r="G242">
        <v>860</v>
      </c>
      <c r="H242">
        <v>0</v>
      </c>
      <c r="I242">
        <v>20</v>
      </c>
      <c r="J242">
        <v>0</v>
      </c>
      <c r="K242">
        <v>0</v>
      </c>
      <c r="L242">
        <v>0</v>
      </c>
      <c r="M242">
        <v>694522.8</v>
      </c>
      <c r="N242" s="4">
        <v>46267</v>
      </c>
      <c r="O242" t="s">
        <v>2068</v>
      </c>
      <c r="P242" t="s">
        <v>357</v>
      </c>
      <c r="S242" t="s">
        <v>1627</v>
      </c>
      <c r="T242" t="s">
        <v>1261</v>
      </c>
      <c r="U242" t="s">
        <v>1262</v>
      </c>
      <c r="V242">
        <v>350050</v>
      </c>
      <c r="W242" t="s">
        <v>1627</v>
      </c>
      <c r="X242" t="s">
        <v>1263</v>
      </c>
      <c r="Y242" t="s">
        <v>2069</v>
      </c>
      <c r="Z242" t="s">
        <v>2070</v>
      </c>
      <c r="AA242" s="5">
        <v>46267.715277777781</v>
      </c>
      <c r="AB242" t="s">
        <v>1266</v>
      </c>
      <c r="AC242" t="s">
        <v>1267</v>
      </c>
      <c r="AD242" t="s">
        <v>1268</v>
      </c>
      <c r="AE242" t="s">
        <v>1269</v>
      </c>
      <c r="AF242" t="s">
        <v>1270</v>
      </c>
    </row>
    <row r="243" spans="2:32" x14ac:dyDescent="0.25">
      <c r="B243">
        <v>395390</v>
      </c>
      <c r="C243" t="s">
        <v>1609</v>
      </c>
      <c r="D243" t="s">
        <v>1257</v>
      </c>
      <c r="E243" t="s">
        <v>1258</v>
      </c>
      <c r="F243" t="s">
        <v>1259</v>
      </c>
      <c r="G243">
        <v>2355</v>
      </c>
      <c r="H243">
        <v>0</v>
      </c>
      <c r="I243">
        <v>35</v>
      </c>
      <c r="J243">
        <v>0</v>
      </c>
      <c r="K243">
        <v>0</v>
      </c>
      <c r="L243">
        <v>0</v>
      </c>
      <c r="M243">
        <v>692132.8</v>
      </c>
      <c r="N243" s="4">
        <v>46267</v>
      </c>
      <c r="O243" t="s">
        <v>2071</v>
      </c>
      <c r="P243" t="s">
        <v>361</v>
      </c>
      <c r="S243" t="s">
        <v>1614</v>
      </c>
      <c r="T243" t="s">
        <v>1261</v>
      </c>
      <c r="U243" t="s">
        <v>1262</v>
      </c>
      <c r="V243">
        <v>765244</v>
      </c>
      <c r="W243" t="s">
        <v>1614</v>
      </c>
      <c r="X243" t="s">
        <v>1263</v>
      </c>
      <c r="Y243" t="s">
        <v>2072</v>
      </c>
      <c r="Z243" t="s">
        <v>2073</v>
      </c>
      <c r="AA243" s="5">
        <v>46267.715277777781</v>
      </c>
      <c r="AB243" t="s">
        <v>1266</v>
      </c>
      <c r="AC243" t="s">
        <v>1267</v>
      </c>
      <c r="AD243" t="s">
        <v>1268</v>
      </c>
      <c r="AE243" t="s">
        <v>1269</v>
      </c>
      <c r="AF243" t="s">
        <v>1270</v>
      </c>
    </row>
    <row r="244" spans="2:32" x14ac:dyDescent="0.25">
      <c r="B244">
        <v>395390</v>
      </c>
      <c r="C244" t="s">
        <v>1609</v>
      </c>
      <c r="D244" t="s">
        <v>1257</v>
      </c>
      <c r="E244" t="s">
        <v>1258</v>
      </c>
      <c r="F244" t="s">
        <v>1259</v>
      </c>
      <c r="G244">
        <v>23875</v>
      </c>
      <c r="H244">
        <v>0</v>
      </c>
      <c r="I244">
        <v>87</v>
      </c>
      <c r="J244">
        <v>0</v>
      </c>
      <c r="K244">
        <v>0</v>
      </c>
      <c r="L244">
        <v>0</v>
      </c>
      <c r="M244">
        <v>665871.80000000005</v>
      </c>
      <c r="N244" s="4">
        <v>46267</v>
      </c>
      <c r="O244" t="s">
        <v>2074</v>
      </c>
      <c r="P244" t="s">
        <v>353</v>
      </c>
      <c r="S244" t="s">
        <v>1614</v>
      </c>
      <c r="T244" t="s">
        <v>1261</v>
      </c>
      <c r="U244" t="s">
        <v>1262</v>
      </c>
      <c r="V244">
        <v>765244</v>
      </c>
      <c r="W244" t="s">
        <v>1614</v>
      </c>
      <c r="X244" t="s">
        <v>1263</v>
      </c>
      <c r="Y244" t="s">
        <v>2075</v>
      </c>
      <c r="Z244" t="s">
        <v>2076</v>
      </c>
      <c r="AA244" s="5">
        <v>46267.715277777781</v>
      </c>
      <c r="AB244" t="s">
        <v>1266</v>
      </c>
      <c r="AC244" t="s">
        <v>1267</v>
      </c>
      <c r="AD244" t="s">
        <v>1268</v>
      </c>
      <c r="AE244" t="s">
        <v>1269</v>
      </c>
      <c r="AF244" t="s">
        <v>1270</v>
      </c>
    </row>
    <row r="245" spans="2:32" x14ac:dyDescent="0.25">
      <c r="B245">
        <v>395390</v>
      </c>
      <c r="C245" t="s">
        <v>1609</v>
      </c>
      <c r="D245" t="s">
        <v>1257</v>
      </c>
      <c r="E245" t="s">
        <v>1258</v>
      </c>
      <c r="F245" t="s">
        <v>1259</v>
      </c>
      <c r="G245">
        <v>6278</v>
      </c>
      <c r="H245">
        <v>0</v>
      </c>
      <c r="I245">
        <v>57</v>
      </c>
      <c r="J245">
        <v>0</v>
      </c>
      <c r="K245">
        <v>0</v>
      </c>
      <c r="L245">
        <v>0</v>
      </c>
      <c r="M245">
        <v>648977.80000000005</v>
      </c>
      <c r="N245" s="4">
        <v>46267</v>
      </c>
      <c r="O245" t="s">
        <v>2077</v>
      </c>
      <c r="P245" t="s">
        <v>341</v>
      </c>
      <c r="S245" t="s">
        <v>1564</v>
      </c>
      <c r="T245" t="s">
        <v>1261</v>
      </c>
      <c r="U245" t="s">
        <v>1262</v>
      </c>
      <c r="V245">
        <v>852648</v>
      </c>
      <c r="W245" t="s">
        <v>1564</v>
      </c>
      <c r="X245" t="s">
        <v>1263</v>
      </c>
      <c r="Y245" t="s">
        <v>2078</v>
      </c>
      <c r="Z245" t="s">
        <v>2079</v>
      </c>
      <c r="AA245" s="5">
        <v>46267.715277777781</v>
      </c>
      <c r="AB245" t="s">
        <v>1266</v>
      </c>
      <c r="AC245" t="s">
        <v>1267</v>
      </c>
      <c r="AD245" t="s">
        <v>1268</v>
      </c>
      <c r="AE245" t="s">
        <v>1269</v>
      </c>
      <c r="AF245" t="s">
        <v>1270</v>
      </c>
    </row>
    <row r="246" spans="2:32" x14ac:dyDescent="0.25">
      <c r="B246">
        <v>395390</v>
      </c>
      <c r="C246" t="s">
        <v>1609</v>
      </c>
      <c r="D246" t="s">
        <v>1257</v>
      </c>
      <c r="E246" t="s">
        <v>1258</v>
      </c>
      <c r="F246" t="s">
        <v>1259</v>
      </c>
      <c r="G246">
        <v>3837</v>
      </c>
      <c r="H246">
        <v>0</v>
      </c>
      <c r="I246">
        <v>49</v>
      </c>
      <c r="J246">
        <v>0</v>
      </c>
      <c r="K246">
        <v>0</v>
      </c>
      <c r="L246">
        <v>0</v>
      </c>
      <c r="M246">
        <v>640597.80000000005</v>
      </c>
      <c r="N246" s="4">
        <v>46267</v>
      </c>
      <c r="O246" t="s">
        <v>2080</v>
      </c>
      <c r="P246" t="s">
        <v>349</v>
      </c>
      <c r="S246" t="s">
        <v>1614</v>
      </c>
      <c r="T246" t="s">
        <v>1261</v>
      </c>
      <c r="U246" t="s">
        <v>1262</v>
      </c>
      <c r="V246">
        <v>765244</v>
      </c>
      <c r="W246" t="s">
        <v>1614</v>
      </c>
      <c r="X246" t="s">
        <v>1263</v>
      </c>
      <c r="Y246" t="s">
        <v>2081</v>
      </c>
      <c r="Z246" t="s">
        <v>2082</v>
      </c>
      <c r="AA246" s="5">
        <v>46267.715277777781</v>
      </c>
      <c r="AB246" t="s">
        <v>1266</v>
      </c>
      <c r="AC246" t="s">
        <v>1267</v>
      </c>
      <c r="AD246" t="s">
        <v>1268</v>
      </c>
      <c r="AE246" t="s">
        <v>1269</v>
      </c>
      <c r="AF246" t="s">
        <v>1270</v>
      </c>
    </row>
    <row r="247" spans="2:32" x14ac:dyDescent="0.25">
      <c r="B247">
        <v>395390</v>
      </c>
      <c r="C247" t="s">
        <v>1609</v>
      </c>
      <c r="D247" t="s">
        <v>1257</v>
      </c>
      <c r="E247" t="s">
        <v>1258</v>
      </c>
      <c r="F247" t="s">
        <v>1259</v>
      </c>
      <c r="G247">
        <v>8641</v>
      </c>
      <c r="H247">
        <v>0</v>
      </c>
      <c r="I247">
        <v>63</v>
      </c>
      <c r="J247">
        <v>0</v>
      </c>
      <c r="K247">
        <v>0</v>
      </c>
      <c r="L247">
        <v>0</v>
      </c>
      <c r="M247">
        <v>618397.80000000005</v>
      </c>
      <c r="N247" s="4">
        <v>46267</v>
      </c>
      <c r="O247" t="s">
        <v>2083</v>
      </c>
      <c r="P247" t="s">
        <v>345</v>
      </c>
      <c r="S247" t="s">
        <v>1614</v>
      </c>
      <c r="T247" t="s">
        <v>1261</v>
      </c>
      <c r="U247" t="s">
        <v>1262</v>
      </c>
      <c r="V247">
        <v>765244</v>
      </c>
      <c r="W247" t="s">
        <v>1614</v>
      </c>
      <c r="X247" t="s">
        <v>1263</v>
      </c>
      <c r="Y247" t="s">
        <v>2084</v>
      </c>
      <c r="Z247" t="s">
        <v>2085</v>
      </c>
      <c r="AA247" s="5">
        <v>46267.715277777781</v>
      </c>
      <c r="AB247" t="s">
        <v>1266</v>
      </c>
      <c r="AC247" t="s">
        <v>1267</v>
      </c>
      <c r="AD247" t="s">
        <v>1268</v>
      </c>
      <c r="AE247" t="s">
        <v>1269</v>
      </c>
      <c r="AF247" t="s">
        <v>1270</v>
      </c>
    </row>
    <row r="248" spans="2:32" x14ac:dyDescent="0.25">
      <c r="B248">
        <v>395390</v>
      </c>
      <c r="C248" t="s">
        <v>1609</v>
      </c>
      <c r="D248" t="s">
        <v>1257</v>
      </c>
      <c r="E248" t="s">
        <v>1258</v>
      </c>
      <c r="F248" t="s">
        <v>1259</v>
      </c>
      <c r="G248">
        <v>12531</v>
      </c>
      <c r="H248">
        <v>0</v>
      </c>
      <c r="I248">
        <v>72</v>
      </c>
      <c r="J248">
        <v>0</v>
      </c>
      <c r="K248">
        <v>0</v>
      </c>
      <c r="L248">
        <v>0</v>
      </c>
      <c r="M248">
        <v>586474.80000000005</v>
      </c>
      <c r="N248" s="4">
        <v>46267</v>
      </c>
      <c r="O248" t="s">
        <v>2086</v>
      </c>
      <c r="P248" t="s">
        <v>337</v>
      </c>
      <c r="S248" t="s">
        <v>1614</v>
      </c>
      <c r="T248" t="s">
        <v>1261</v>
      </c>
      <c r="U248" t="s">
        <v>1262</v>
      </c>
      <c r="V248">
        <v>765244</v>
      </c>
      <c r="W248" t="s">
        <v>1614</v>
      </c>
      <c r="X248" t="s">
        <v>1263</v>
      </c>
      <c r="Y248" t="s">
        <v>2087</v>
      </c>
      <c r="Z248" t="s">
        <v>2088</v>
      </c>
      <c r="AA248" s="5">
        <v>46267.715277777781</v>
      </c>
      <c r="AB248" t="s">
        <v>1266</v>
      </c>
      <c r="AC248" t="s">
        <v>1267</v>
      </c>
      <c r="AD248" t="s">
        <v>1268</v>
      </c>
      <c r="AE248" t="s">
        <v>1269</v>
      </c>
      <c r="AF248" t="s">
        <v>1270</v>
      </c>
    </row>
    <row r="249" spans="2:32" x14ac:dyDescent="0.25">
      <c r="B249">
        <v>395390</v>
      </c>
      <c r="C249" t="s">
        <v>1609</v>
      </c>
      <c r="D249" t="s">
        <v>1257</v>
      </c>
      <c r="E249" t="s">
        <v>1258</v>
      </c>
      <c r="F249" t="s">
        <v>1259</v>
      </c>
      <c r="G249">
        <v>6316</v>
      </c>
      <c r="H249">
        <v>0</v>
      </c>
      <c r="I249">
        <v>57</v>
      </c>
      <c r="J249">
        <v>0</v>
      </c>
      <c r="K249">
        <v>0</v>
      </c>
      <c r="L249">
        <v>0</v>
      </c>
      <c r="M249">
        <v>564539.80000000005</v>
      </c>
      <c r="N249" s="4">
        <v>46267</v>
      </c>
      <c r="O249" t="s">
        <v>2089</v>
      </c>
      <c r="P249" t="s">
        <v>332</v>
      </c>
      <c r="S249" t="s">
        <v>1564</v>
      </c>
      <c r="T249" t="s">
        <v>1261</v>
      </c>
      <c r="U249" t="s">
        <v>1262</v>
      </c>
      <c r="V249">
        <v>852648</v>
      </c>
      <c r="W249" t="s">
        <v>1564</v>
      </c>
      <c r="X249" t="s">
        <v>1263</v>
      </c>
      <c r="Y249" t="s">
        <v>2090</v>
      </c>
      <c r="Z249" t="s">
        <v>2091</v>
      </c>
      <c r="AA249" s="5">
        <v>46267.715277777781</v>
      </c>
      <c r="AB249" t="s">
        <v>1266</v>
      </c>
      <c r="AC249" t="s">
        <v>1267</v>
      </c>
      <c r="AD249" t="s">
        <v>1268</v>
      </c>
      <c r="AE249" t="s">
        <v>1269</v>
      </c>
      <c r="AF249" t="s">
        <v>1270</v>
      </c>
    </row>
    <row r="250" spans="2:32" x14ac:dyDescent="0.25">
      <c r="B250">
        <v>395390</v>
      </c>
      <c r="C250" t="s">
        <v>1609</v>
      </c>
      <c r="D250" t="s">
        <v>1257</v>
      </c>
      <c r="E250" t="s">
        <v>1258</v>
      </c>
      <c r="F250" t="s">
        <v>1259</v>
      </c>
      <c r="G250">
        <v>723</v>
      </c>
      <c r="H250">
        <v>0</v>
      </c>
      <c r="I250">
        <v>20</v>
      </c>
      <c r="J250">
        <v>0</v>
      </c>
      <c r="K250">
        <v>0</v>
      </c>
      <c r="L250">
        <v>0</v>
      </c>
      <c r="M250">
        <v>453193.8</v>
      </c>
      <c r="N250" s="4">
        <v>46267</v>
      </c>
      <c r="O250" t="s">
        <v>2092</v>
      </c>
      <c r="P250" t="s">
        <v>328</v>
      </c>
      <c r="S250" t="s">
        <v>1614</v>
      </c>
      <c r="T250" t="s">
        <v>1261</v>
      </c>
      <c r="U250" t="s">
        <v>1262</v>
      </c>
      <c r="V250">
        <v>765244</v>
      </c>
      <c r="W250" t="s">
        <v>1614</v>
      </c>
      <c r="X250" t="s">
        <v>1263</v>
      </c>
      <c r="Y250" t="s">
        <v>2093</v>
      </c>
      <c r="Z250" t="s">
        <v>2094</v>
      </c>
      <c r="AA250" s="5">
        <v>46267.715277777781</v>
      </c>
      <c r="AB250" t="s">
        <v>1266</v>
      </c>
      <c r="AC250" t="s">
        <v>1267</v>
      </c>
      <c r="AD250" t="s">
        <v>1268</v>
      </c>
      <c r="AE250" t="s">
        <v>1269</v>
      </c>
      <c r="AF250" t="s">
        <v>1270</v>
      </c>
    </row>
    <row r="251" spans="2:32" x14ac:dyDescent="0.25">
      <c r="B251">
        <v>395390</v>
      </c>
      <c r="C251" t="s">
        <v>1609</v>
      </c>
      <c r="D251" t="s">
        <v>1257</v>
      </c>
      <c r="E251" t="s">
        <v>1258</v>
      </c>
      <c r="F251" t="s">
        <v>1259</v>
      </c>
      <c r="G251">
        <v>2455</v>
      </c>
      <c r="H251">
        <v>0</v>
      </c>
      <c r="I251">
        <v>35</v>
      </c>
      <c r="J251">
        <v>0</v>
      </c>
      <c r="K251">
        <v>0</v>
      </c>
      <c r="L251">
        <v>0</v>
      </c>
      <c r="M251">
        <v>402829.8</v>
      </c>
      <c r="N251" s="4">
        <v>46267</v>
      </c>
      <c r="O251" t="s">
        <v>2095</v>
      </c>
      <c r="P251" t="s">
        <v>285</v>
      </c>
      <c r="S251" t="s">
        <v>1627</v>
      </c>
      <c r="T251" t="s">
        <v>1261</v>
      </c>
      <c r="U251" t="s">
        <v>1262</v>
      </c>
      <c r="V251">
        <v>350050</v>
      </c>
      <c r="W251" t="s">
        <v>1627</v>
      </c>
      <c r="X251" t="s">
        <v>1263</v>
      </c>
      <c r="Y251" t="s">
        <v>2096</v>
      </c>
      <c r="Z251" t="s">
        <v>2097</v>
      </c>
      <c r="AA251" s="5">
        <v>46267.715277777781</v>
      </c>
      <c r="AB251" t="s">
        <v>1266</v>
      </c>
      <c r="AC251" t="s">
        <v>1267</v>
      </c>
      <c r="AD251" t="s">
        <v>1268</v>
      </c>
      <c r="AE251" t="s">
        <v>1269</v>
      </c>
      <c r="AF251" t="s">
        <v>1270</v>
      </c>
    </row>
    <row r="252" spans="2:32" x14ac:dyDescent="0.25">
      <c r="B252">
        <v>395390</v>
      </c>
      <c r="C252" t="s">
        <v>1609</v>
      </c>
      <c r="D252" t="s">
        <v>1257</v>
      </c>
      <c r="E252" t="s">
        <v>1258</v>
      </c>
      <c r="F252" t="s">
        <v>1259</v>
      </c>
      <c r="G252">
        <v>1318</v>
      </c>
      <c r="H252">
        <v>0</v>
      </c>
      <c r="I252">
        <v>25</v>
      </c>
      <c r="J252">
        <v>0</v>
      </c>
      <c r="K252">
        <v>0</v>
      </c>
      <c r="L252">
        <v>0</v>
      </c>
      <c r="M252">
        <v>401486.8</v>
      </c>
      <c r="N252" s="4">
        <v>46267</v>
      </c>
      <c r="O252" t="s">
        <v>2098</v>
      </c>
      <c r="P252" t="s">
        <v>291</v>
      </c>
      <c r="S252" t="s">
        <v>1614</v>
      </c>
      <c r="T252" t="s">
        <v>1261</v>
      </c>
      <c r="U252" t="s">
        <v>1262</v>
      </c>
      <c r="V252">
        <v>765244</v>
      </c>
      <c r="W252" t="s">
        <v>1614</v>
      </c>
      <c r="X252" t="s">
        <v>1263</v>
      </c>
      <c r="Y252" t="s">
        <v>2099</v>
      </c>
      <c r="Z252" t="s">
        <v>2100</v>
      </c>
      <c r="AA252" s="5">
        <v>46267.715277777781</v>
      </c>
      <c r="AB252" t="s">
        <v>1266</v>
      </c>
      <c r="AC252" t="s">
        <v>1267</v>
      </c>
      <c r="AD252" t="s">
        <v>1268</v>
      </c>
      <c r="AE252" t="s">
        <v>1269</v>
      </c>
      <c r="AF252" t="s">
        <v>1270</v>
      </c>
    </row>
    <row r="253" spans="2:32" hidden="1" x14ac:dyDescent="0.25">
      <c r="B253">
        <v>395390</v>
      </c>
      <c r="C253" t="s">
        <v>1609</v>
      </c>
      <c r="D253" t="s">
        <v>1257</v>
      </c>
      <c r="E253" t="s">
        <v>1258</v>
      </c>
      <c r="F253" t="s">
        <v>1259</v>
      </c>
      <c r="G253">
        <v>59294</v>
      </c>
      <c r="H253">
        <v>0</v>
      </c>
      <c r="I253">
        <v>136</v>
      </c>
      <c r="J253">
        <v>0</v>
      </c>
      <c r="K253">
        <v>0</v>
      </c>
      <c r="L253">
        <v>0</v>
      </c>
      <c r="M253">
        <v>334791.8</v>
      </c>
      <c r="N253" s="4">
        <v>46267</v>
      </c>
      <c r="O253" t="s">
        <v>2101</v>
      </c>
      <c r="Q253" t="s">
        <v>2102</v>
      </c>
      <c r="T253" t="s">
        <v>1261</v>
      </c>
      <c r="U253" t="s">
        <v>1262</v>
      </c>
      <c r="V253">
        <v>874950</v>
      </c>
      <c r="X253" t="s">
        <v>1263</v>
      </c>
      <c r="Y253" t="s">
        <v>2103</v>
      </c>
      <c r="Z253" t="s">
        <v>2104</v>
      </c>
      <c r="AA253" s="5">
        <v>46267.715277777781</v>
      </c>
      <c r="AB253" t="s">
        <v>1345</v>
      </c>
      <c r="AC253" t="s">
        <v>1267</v>
      </c>
      <c r="AD253" t="s">
        <v>1346</v>
      </c>
      <c r="AE253" t="s">
        <v>1347</v>
      </c>
      <c r="AF253" t="s">
        <v>1819</v>
      </c>
    </row>
    <row r="254" spans="2:32" x14ac:dyDescent="0.25">
      <c r="B254">
        <v>395390</v>
      </c>
      <c r="C254" t="s">
        <v>1609</v>
      </c>
      <c r="D254" t="s">
        <v>1257</v>
      </c>
      <c r="E254" t="s">
        <v>1258</v>
      </c>
      <c r="F254" t="s">
        <v>1259</v>
      </c>
      <c r="G254">
        <v>19454</v>
      </c>
      <c r="H254">
        <v>0</v>
      </c>
      <c r="I254">
        <v>82</v>
      </c>
      <c r="J254">
        <v>0</v>
      </c>
      <c r="K254">
        <v>0</v>
      </c>
      <c r="L254">
        <v>0</v>
      </c>
      <c r="M254">
        <v>263841.8</v>
      </c>
      <c r="N254" s="4">
        <v>46267</v>
      </c>
      <c r="O254" t="s">
        <v>2105</v>
      </c>
      <c r="P254" t="s">
        <v>317</v>
      </c>
      <c r="S254" t="s">
        <v>1564</v>
      </c>
      <c r="T254" t="s">
        <v>1261</v>
      </c>
      <c r="U254" t="s">
        <v>1262</v>
      </c>
      <c r="V254">
        <v>852648</v>
      </c>
      <c r="W254" t="s">
        <v>1564</v>
      </c>
      <c r="X254" t="s">
        <v>1263</v>
      </c>
      <c r="Y254" t="s">
        <v>2106</v>
      </c>
      <c r="Z254" t="s">
        <v>2107</v>
      </c>
      <c r="AA254" s="5">
        <v>46267.715277777781</v>
      </c>
      <c r="AB254" t="s">
        <v>1266</v>
      </c>
      <c r="AC254" t="s">
        <v>1267</v>
      </c>
      <c r="AD254" t="s">
        <v>1268</v>
      </c>
      <c r="AE254" t="s">
        <v>1269</v>
      </c>
      <c r="AF254" t="s">
        <v>1270</v>
      </c>
    </row>
    <row r="255" spans="2:32" x14ac:dyDescent="0.25">
      <c r="B255">
        <v>395390</v>
      </c>
      <c r="C255" t="s">
        <v>1609</v>
      </c>
      <c r="D255" t="s">
        <v>1257</v>
      </c>
      <c r="E255" t="s">
        <v>1258</v>
      </c>
      <c r="F255" t="s">
        <v>1259</v>
      </c>
      <c r="G255">
        <v>318</v>
      </c>
      <c r="H255">
        <v>0</v>
      </c>
      <c r="I255">
        <v>10</v>
      </c>
      <c r="J255">
        <v>0</v>
      </c>
      <c r="K255">
        <v>0</v>
      </c>
      <c r="L255">
        <v>0</v>
      </c>
      <c r="M255">
        <v>252339.8</v>
      </c>
      <c r="N255" s="4">
        <v>46267</v>
      </c>
      <c r="O255" t="s">
        <v>2108</v>
      </c>
      <c r="P255" t="s">
        <v>309</v>
      </c>
      <c r="S255" t="s">
        <v>1614</v>
      </c>
      <c r="T255" t="s">
        <v>1261</v>
      </c>
      <c r="U255" t="s">
        <v>1262</v>
      </c>
      <c r="V255">
        <v>765244</v>
      </c>
      <c r="W255" t="s">
        <v>1614</v>
      </c>
      <c r="X255" t="s">
        <v>1263</v>
      </c>
      <c r="Y255" t="s">
        <v>2109</v>
      </c>
      <c r="Z255" t="s">
        <v>2110</v>
      </c>
      <c r="AA255" s="5">
        <v>46267.715277777781</v>
      </c>
      <c r="AB255" t="s">
        <v>1266</v>
      </c>
      <c r="AC255" t="s">
        <v>1267</v>
      </c>
      <c r="AD255" t="s">
        <v>1268</v>
      </c>
      <c r="AE255" t="s">
        <v>1269</v>
      </c>
      <c r="AF255" t="s">
        <v>1270</v>
      </c>
    </row>
    <row r="256" spans="2:32" x14ac:dyDescent="0.25">
      <c r="B256">
        <v>395390</v>
      </c>
      <c r="C256" t="s">
        <v>1609</v>
      </c>
      <c r="D256" t="s">
        <v>1257</v>
      </c>
      <c r="E256" t="s">
        <v>1258</v>
      </c>
      <c r="F256" t="s">
        <v>1259</v>
      </c>
      <c r="G256">
        <v>21800</v>
      </c>
      <c r="H256">
        <v>0</v>
      </c>
      <c r="I256">
        <v>87</v>
      </c>
      <c r="J256">
        <v>0</v>
      </c>
      <c r="K256">
        <v>0</v>
      </c>
      <c r="L256">
        <v>0</v>
      </c>
      <c r="M256">
        <v>212194.8</v>
      </c>
      <c r="N256" s="4">
        <v>46267</v>
      </c>
      <c r="O256" t="s">
        <v>2111</v>
      </c>
      <c r="P256" t="s">
        <v>324</v>
      </c>
      <c r="S256" t="s">
        <v>1614</v>
      </c>
      <c r="T256" t="s">
        <v>1261</v>
      </c>
      <c r="U256" t="s">
        <v>1262</v>
      </c>
      <c r="V256">
        <v>765244</v>
      </c>
      <c r="W256" t="s">
        <v>1614</v>
      </c>
      <c r="X256" t="s">
        <v>1263</v>
      </c>
      <c r="Y256" t="s">
        <v>2112</v>
      </c>
      <c r="Z256" t="s">
        <v>2113</v>
      </c>
      <c r="AA256" s="5">
        <v>46267.715277777781</v>
      </c>
      <c r="AB256" t="s">
        <v>1266</v>
      </c>
      <c r="AC256" t="s">
        <v>1267</v>
      </c>
      <c r="AD256" t="s">
        <v>1268</v>
      </c>
      <c r="AE256" t="s">
        <v>1269</v>
      </c>
      <c r="AF256" t="s">
        <v>1270</v>
      </c>
    </row>
    <row r="257" spans="1:32" x14ac:dyDescent="0.25">
      <c r="B257">
        <v>395390</v>
      </c>
      <c r="C257" t="s">
        <v>1609</v>
      </c>
      <c r="D257" t="s">
        <v>1257</v>
      </c>
      <c r="E257" t="s">
        <v>1258</v>
      </c>
      <c r="F257" t="s">
        <v>1259</v>
      </c>
      <c r="G257">
        <v>6809</v>
      </c>
      <c r="H257">
        <v>0</v>
      </c>
      <c r="I257">
        <v>57</v>
      </c>
      <c r="J257">
        <v>0</v>
      </c>
      <c r="K257">
        <v>0</v>
      </c>
      <c r="L257">
        <v>0</v>
      </c>
      <c r="M257">
        <v>178742.8</v>
      </c>
      <c r="N257" s="4">
        <v>46267</v>
      </c>
      <c r="O257" t="s">
        <v>2114</v>
      </c>
      <c r="P257" t="s">
        <v>305</v>
      </c>
      <c r="S257" t="s">
        <v>1614</v>
      </c>
      <c r="T257" t="s">
        <v>1261</v>
      </c>
      <c r="U257" t="s">
        <v>1262</v>
      </c>
      <c r="V257">
        <v>765244</v>
      </c>
      <c r="W257" t="s">
        <v>1614</v>
      </c>
      <c r="X257" t="s">
        <v>1263</v>
      </c>
      <c r="Y257" t="s">
        <v>2115</v>
      </c>
      <c r="Z257" t="s">
        <v>2116</v>
      </c>
      <c r="AA257" s="5">
        <v>46267.715277777781</v>
      </c>
      <c r="AB257" t="s">
        <v>1266</v>
      </c>
      <c r="AC257" t="s">
        <v>1267</v>
      </c>
      <c r="AD257" t="s">
        <v>1268</v>
      </c>
      <c r="AE257" t="s">
        <v>1269</v>
      </c>
      <c r="AF257" t="s">
        <v>1270</v>
      </c>
    </row>
    <row r="258" spans="1:32" x14ac:dyDescent="0.25">
      <c r="B258">
        <v>395390</v>
      </c>
      <c r="C258" t="s">
        <v>1609</v>
      </c>
      <c r="D258" t="s">
        <v>1257</v>
      </c>
      <c r="E258" t="s">
        <v>1258</v>
      </c>
      <c r="F258" t="s">
        <v>1259</v>
      </c>
      <c r="G258">
        <v>2330</v>
      </c>
      <c r="H258">
        <v>0</v>
      </c>
      <c r="I258">
        <v>35</v>
      </c>
      <c r="J258">
        <v>0</v>
      </c>
      <c r="K258">
        <v>0</v>
      </c>
      <c r="L258">
        <v>0</v>
      </c>
      <c r="M258">
        <v>176377.8</v>
      </c>
      <c r="N258" s="4">
        <v>46267</v>
      </c>
      <c r="O258" t="s">
        <v>2117</v>
      </c>
      <c r="P258" t="s">
        <v>321</v>
      </c>
      <c r="S258" t="s">
        <v>1614</v>
      </c>
      <c r="T258" t="s">
        <v>1261</v>
      </c>
      <c r="U258" t="s">
        <v>1262</v>
      </c>
      <c r="V258">
        <v>765244</v>
      </c>
      <c r="W258" t="s">
        <v>1614</v>
      </c>
      <c r="X258" t="s">
        <v>1263</v>
      </c>
      <c r="Y258" t="s">
        <v>2118</v>
      </c>
      <c r="Z258" t="s">
        <v>2119</v>
      </c>
      <c r="AA258" s="5">
        <v>46267.715277777781</v>
      </c>
      <c r="AB258" t="s">
        <v>1266</v>
      </c>
      <c r="AC258" t="s">
        <v>1267</v>
      </c>
      <c r="AD258" t="s">
        <v>1268</v>
      </c>
      <c r="AE258" t="s">
        <v>1269</v>
      </c>
      <c r="AF258" t="s">
        <v>1270</v>
      </c>
    </row>
    <row r="259" spans="1:32" x14ac:dyDescent="0.25">
      <c r="B259">
        <v>395390</v>
      </c>
      <c r="C259" t="s">
        <v>1609</v>
      </c>
      <c r="D259" t="s">
        <v>1257</v>
      </c>
      <c r="E259" t="s">
        <v>1258</v>
      </c>
      <c r="F259" t="s">
        <v>1259</v>
      </c>
      <c r="G259">
        <v>6338</v>
      </c>
      <c r="H259">
        <v>0</v>
      </c>
      <c r="I259">
        <v>57</v>
      </c>
      <c r="J259">
        <v>0</v>
      </c>
      <c r="K259">
        <v>0</v>
      </c>
      <c r="L259">
        <v>0</v>
      </c>
      <c r="M259">
        <v>169982.8</v>
      </c>
      <c r="N259" s="4">
        <v>46267</v>
      </c>
      <c r="O259" t="s">
        <v>2120</v>
      </c>
      <c r="P259" t="s">
        <v>313</v>
      </c>
      <c r="S259" t="s">
        <v>1614</v>
      </c>
      <c r="T259" t="s">
        <v>1261</v>
      </c>
      <c r="U259" t="s">
        <v>1262</v>
      </c>
      <c r="V259">
        <v>765244</v>
      </c>
      <c r="W259" t="s">
        <v>1614</v>
      </c>
      <c r="X259" t="s">
        <v>1263</v>
      </c>
      <c r="Y259" t="s">
        <v>2121</v>
      </c>
      <c r="Z259" t="s">
        <v>2122</v>
      </c>
      <c r="AA259" s="5">
        <v>46267.715277777781</v>
      </c>
      <c r="AB259" t="s">
        <v>1266</v>
      </c>
      <c r="AC259" t="s">
        <v>1267</v>
      </c>
      <c r="AD259" t="s">
        <v>1268</v>
      </c>
      <c r="AE259" t="s">
        <v>1269</v>
      </c>
      <c r="AF259" t="s">
        <v>1270</v>
      </c>
    </row>
    <row r="260" spans="1:32" x14ac:dyDescent="0.25">
      <c r="B260">
        <v>395390</v>
      </c>
      <c r="C260" t="s">
        <v>1609</v>
      </c>
      <c r="D260" t="s">
        <v>1257</v>
      </c>
      <c r="E260" t="s">
        <v>1258</v>
      </c>
      <c r="F260" t="s">
        <v>1259</v>
      </c>
      <c r="G260">
        <v>4412</v>
      </c>
      <c r="H260">
        <v>0</v>
      </c>
      <c r="I260">
        <v>49</v>
      </c>
      <c r="J260">
        <v>0</v>
      </c>
      <c r="K260">
        <v>0</v>
      </c>
      <c r="L260">
        <v>0</v>
      </c>
      <c r="M260">
        <v>130394.8</v>
      </c>
      <c r="N260" s="4">
        <v>46267</v>
      </c>
      <c r="O260" t="s">
        <v>2123</v>
      </c>
      <c r="P260" t="s">
        <v>301</v>
      </c>
      <c r="S260" t="s">
        <v>1614</v>
      </c>
      <c r="T260" t="s">
        <v>1261</v>
      </c>
      <c r="U260" t="s">
        <v>1262</v>
      </c>
      <c r="V260">
        <v>765244</v>
      </c>
      <c r="W260" t="s">
        <v>1614</v>
      </c>
      <c r="X260" t="s">
        <v>1263</v>
      </c>
      <c r="Y260" t="s">
        <v>2124</v>
      </c>
      <c r="Z260" t="s">
        <v>2125</v>
      </c>
      <c r="AA260" s="5">
        <v>46267.715277777781</v>
      </c>
      <c r="AB260" t="s">
        <v>1266</v>
      </c>
      <c r="AC260" t="s">
        <v>1267</v>
      </c>
      <c r="AD260" t="s">
        <v>1268</v>
      </c>
      <c r="AE260" t="s">
        <v>1269</v>
      </c>
      <c r="AF260" t="s">
        <v>1270</v>
      </c>
    </row>
    <row r="261" spans="1:32" x14ac:dyDescent="0.25">
      <c r="B261">
        <v>395390</v>
      </c>
      <c r="C261" t="s">
        <v>1609</v>
      </c>
      <c r="D261" t="s">
        <v>1257</v>
      </c>
      <c r="E261" t="s">
        <v>1258</v>
      </c>
      <c r="F261" t="s">
        <v>1259</v>
      </c>
      <c r="G261">
        <v>594</v>
      </c>
      <c r="H261">
        <v>0</v>
      </c>
      <c r="I261">
        <v>20</v>
      </c>
      <c r="J261">
        <v>0</v>
      </c>
      <c r="K261">
        <v>0</v>
      </c>
      <c r="L261">
        <v>0</v>
      </c>
      <c r="M261">
        <v>81851.8</v>
      </c>
      <c r="N261" s="4">
        <v>46267</v>
      </c>
      <c r="O261" t="s">
        <v>2126</v>
      </c>
      <c r="P261" t="s">
        <v>297</v>
      </c>
      <c r="S261" t="s">
        <v>1614</v>
      </c>
      <c r="T261" t="s">
        <v>1261</v>
      </c>
      <c r="U261" t="s">
        <v>1262</v>
      </c>
      <c r="V261">
        <v>765244</v>
      </c>
      <c r="W261" t="s">
        <v>1614</v>
      </c>
      <c r="X261" t="s">
        <v>1263</v>
      </c>
      <c r="Y261" t="s">
        <v>2127</v>
      </c>
      <c r="Z261" t="s">
        <v>2128</v>
      </c>
      <c r="AA261" s="5">
        <v>46267.71597222222</v>
      </c>
      <c r="AB261" t="s">
        <v>1266</v>
      </c>
      <c r="AC261" t="s">
        <v>1267</v>
      </c>
      <c r="AD261" t="s">
        <v>1268</v>
      </c>
      <c r="AE261" t="s">
        <v>1269</v>
      </c>
      <c r="AF261" t="s">
        <v>1270</v>
      </c>
    </row>
    <row r="262" spans="1:32" x14ac:dyDescent="0.25">
      <c r="B262">
        <v>395390</v>
      </c>
      <c r="C262" t="s">
        <v>1609</v>
      </c>
      <c r="D262" t="s">
        <v>1257</v>
      </c>
      <c r="E262" t="s">
        <v>1258</v>
      </c>
      <c r="F262" t="s">
        <v>1259</v>
      </c>
      <c r="G262">
        <v>15236</v>
      </c>
      <c r="H262">
        <v>0</v>
      </c>
      <c r="I262">
        <v>82</v>
      </c>
      <c r="J262">
        <v>0</v>
      </c>
      <c r="K262">
        <v>0</v>
      </c>
      <c r="L262">
        <v>0</v>
      </c>
      <c r="M262">
        <v>63365.8</v>
      </c>
      <c r="N262" s="4">
        <v>46267</v>
      </c>
      <c r="O262" t="s">
        <v>2129</v>
      </c>
      <c r="P262" t="s">
        <v>294</v>
      </c>
      <c r="S262" t="s">
        <v>1614</v>
      </c>
      <c r="T262" t="s">
        <v>1261</v>
      </c>
      <c r="U262" t="s">
        <v>1262</v>
      </c>
      <c r="V262">
        <v>765244</v>
      </c>
      <c r="W262" t="s">
        <v>1614</v>
      </c>
      <c r="X262" t="s">
        <v>1263</v>
      </c>
      <c r="Y262" t="s">
        <v>2130</v>
      </c>
      <c r="Z262" t="s">
        <v>2131</v>
      </c>
      <c r="AA262" s="5">
        <v>46267.71597222222</v>
      </c>
      <c r="AB262" t="s">
        <v>1266</v>
      </c>
      <c r="AC262" t="s">
        <v>1267</v>
      </c>
      <c r="AD262" t="s">
        <v>1268</v>
      </c>
      <c r="AE262" t="s">
        <v>1269</v>
      </c>
      <c r="AF262" t="s">
        <v>1270</v>
      </c>
    </row>
    <row r="263" spans="1:32" x14ac:dyDescent="0.25">
      <c r="B263">
        <v>395390</v>
      </c>
      <c r="C263" t="s">
        <v>1609</v>
      </c>
      <c r="D263" t="s">
        <v>1257</v>
      </c>
      <c r="E263" t="s">
        <v>1258</v>
      </c>
      <c r="F263" t="s">
        <v>1259</v>
      </c>
      <c r="G263">
        <v>2638</v>
      </c>
      <c r="H263">
        <v>0</v>
      </c>
      <c r="I263">
        <v>40</v>
      </c>
      <c r="J263">
        <v>0</v>
      </c>
      <c r="K263">
        <v>0</v>
      </c>
      <c r="L263">
        <v>0</v>
      </c>
      <c r="M263">
        <v>33767.800000000003</v>
      </c>
      <c r="N263" s="4">
        <v>46267</v>
      </c>
      <c r="O263" t="s">
        <v>2132</v>
      </c>
      <c r="P263" t="s">
        <v>281</v>
      </c>
      <c r="S263" t="s">
        <v>1614</v>
      </c>
      <c r="T263" t="s">
        <v>1261</v>
      </c>
      <c r="U263" t="s">
        <v>1262</v>
      </c>
      <c r="V263">
        <v>765244</v>
      </c>
      <c r="W263" t="s">
        <v>1614</v>
      </c>
      <c r="X263" t="s">
        <v>1263</v>
      </c>
      <c r="Y263" t="s">
        <v>2133</v>
      </c>
      <c r="Z263" t="s">
        <v>2134</v>
      </c>
      <c r="AA263" s="5">
        <v>46267.71597222222</v>
      </c>
      <c r="AB263" t="s">
        <v>1266</v>
      </c>
      <c r="AC263" t="s">
        <v>1267</v>
      </c>
      <c r="AD263" t="s">
        <v>1268</v>
      </c>
      <c r="AE263" t="s">
        <v>1269</v>
      </c>
      <c r="AF263" t="s">
        <v>1270</v>
      </c>
    </row>
    <row r="264" spans="1:32" x14ac:dyDescent="0.25">
      <c r="B264">
        <v>395390</v>
      </c>
      <c r="C264" t="s">
        <v>1609</v>
      </c>
      <c r="D264" t="s">
        <v>1257</v>
      </c>
      <c r="E264" t="s">
        <v>1258</v>
      </c>
      <c r="F264" t="s">
        <v>1259</v>
      </c>
      <c r="G264">
        <v>594</v>
      </c>
      <c r="H264">
        <v>0</v>
      </c>
      <c r="I264">
        <v>20</v>
      </c>
      <c r="J264">
        <v>0</v>
      </c>
      <c r="K264">
        <v>0</v>
      </c>
      <c r="L264">
        <v>0</v>
      </c>
      <c r="M264">
        <v>5044.8</v>
      </c>
      <c r="N264" s="4">
        <v>46267</v>
      </c>
      <c r="O264" t="s">
        <v>2135</v>
      </c>
      <c r="P264" t="s">
        <v>275</v>
      </c>
      <c r="S264" t="s">
        <v>1564</v>
      </c>
      <c r="T264" t="s">
        <v>1261</v>
      </c>
      <c r="U264" t="s">
        <v>1262</v>
      </c>
      <c r="V264">
        <v>852648</v>
      </c>
      <c r="W264" t="s">
        <v>1564</v>
      </c>
      <c r="X264" t="s">
        <v>1263</v>
      </c>
      <c r="Y264" t="s">
        <v>2136</v>
      </c>
      <c r="Z264" t="s">
        <v>2137</v>
      </c>
      <c r="AA264" s="5">
        <v>46267.71597222222</v>
      </c>
      <c r="AB264" t="s">
        <v>1266</v>
      </c>
      <c r="AC264" t="s">
        <v>1267</v>
      </c>
      <c r="AD264" t="s">
        <v>1268</v>
      </c>
      <c r="AE264" t="s">
        <v>1269</v>
      </c>
      <c r="AF264" t="s">
        <v>1270</v>
      </c>
    </row>
    <row r="265" spans="1:32" x14ac:dyDescent="0.25">
      <c r="B265">
        <v>520420</v>
      </c>
      <c r="C265" t="s">
        <v>1392</v>
      </c>
      <c r="D265" t="s">
        <v>1286</v>
      </c>
      <c r="F265" t="s">
        <v>1259</v>
      </c>
      <c r="G265">
        <v>2000</v>
      </c>
      <c r="H265">
        <v>0</v>
      </c>
      <c r="I265">
        <v>10</v>
      </c>
      <c r="J265">
        <v>2</v>
      </c>
      <c r="K265">
        <v>0</v>
      </c>
      <c r="L265">
        <v>0</v>
      </c>
      <c r="M265">
        <v>37435.224000000002</v>
      </c>
      <c r="N265" s="4">
        <v>46267</v>
      </c>
      <c r="O265" t="s">
        <v>2138</v>
      </c>
      <c r="P265" t="s">
        <v>271</v>
      </c>
      <c r="T265" t="s">
        <v>1261</v>
      </c>
      <c r="U265" t="s">
        <v>1262</v>
      </c>
      <c r="V265">
        <v>520420</v>
      </c>
      <c r="X265" t="s">
        <v>1263</v>
      </c>
      <c r="Y265" t="s">
        <v>2139</v>
      </c>
      <c r="Z265" t="s">
        <v>2140</v>
      </c>
      <c r="AA265" s="5">
        <v>46267.716666666667</v>
      </c>
      <c r="AB265" t="s">
        <v>1266</v>
      </c>
      <c r="AD265" t="s">
        <v>1268</v>
      </c>
      <c r="AE265" t="s">
        <v>1269</v>
      </c>
      <c r="AF265" t="s">
        <v>1270</v>
      </c>
    </row>
    <row r="266" spans="1:32" hidden="1" x14ac:dyDescent="0.25">
      <c r="B266">
        <v>458445</v>
      </c>
      <c r="C266" t="s">
        <v>1332</v>
      </c>
      <c r="D266" t="s">
        <v>1257</v>
      </c>
      <c r="E266" t="s">
        <v>1258</v>
      </c>
      <c r="F266" t="s">
        <v>1259</v>
      </c>
      <c r="G266">
        <v>16398</v>
      </c>
      <c r="H266">
        <v>0</v>
      </c>
      <c r="I266">
        <v>15</v>
      </c>
      <c r="J266">
        <v>0</v>
      </c>
      <c r="K266">
        <v>1</v>
      </c>
      <c r="L266">
        <v>0</v>
      </c>
      <c r="M266">
        <v>274412.68800000002</v>
      </c>
      <c r="N266" s="4">
        <v>46267</v>
      </c>
      <c r="O266" t="s">
        <v>2141</v>
      </c>
      <c r="Q266" t="s">
        <v>2142</v>
      </c>
      <c r="S266" t="s">
        <v>2143</v>
      </c>
      <c r="T266" t="s">
        <v>1261</v>
      </c>
      <c r="U266" t="s">
        <v>1262</v>
      </c>
      <c r="V266">
        <v>600100</v>
      </c>
      <c r="W266" t="s">
        <v>2143</v>
      </c>
      <c r="X266" t="s">
        <v>1263</v>
      </c>
      <c r="Y266" t="s">
        <v>2144</v>
      </c>
      <c r="Z266" s="6" t="s">
        <v>262</v>
      </c>
      <c r="AA266" s="5">
        <v>46267.716666666667</v>
      </c>
      <c r="AB266" t="s">
        <v>1345</v>
      </c>
      <c r="AD266" t="s">
        <v>1346</v>
      </c>
      <c r="AE266" t="s">
        <v>1347</v>
      </c>
      <c r="AF266" t="s">
        <v>1561</v>
      </c>
    </row>
    <row r="267" spans="1:32" x14ac:dyDescent="0.25">
      <c r="B267">
        <v>60850</v>
      </c>
      <c r="C267" t="s">
        <v>2145</v>
      </c>
      <c r="D267" t="s">
        <v>1257</v>
      </c>
      <c r="E267" t="s">
        <v>1258</v>
      </c>
      <c r="F267" t="s">
        <v>1259</v>
      </c>
      <c r="G267">
        <v>240</v>
      </c>
      <c r="H267">
        <v>0</v>
      </c>
      <c r="I267">
        <v>10</v>
      </c>
      <c r="J267">
        <v>0</v>
      </c>
      <c r="K267">
        <v>1</v>
      </c>
      <c r="L267">
        <v>0</v>
      </c>
      <c r="M267">
        <v>79.430000000000007</v>
      </c>
      <c r="N267" s="4">
        <v>46267</v>
      </c>
      <c r="O267" t="s">
        <v>2146</v>
      </c>
      <c r="P267" t="s">
        <v>267</v>
      </c>
      <c r="T267" t="s">
        <v>1261</v>
      </c>
      <c r="U267" t="s">
        <v>1262</v>
      </c>
      <c r="V267">
        <v>707673</v>
      </c>
      <c r="X267" t="s">
        <v>1263</v>
      </c>
      <c r="Y267" t="s">
        <v>2147</v>
      </c>
      <c r="Z267" t="s">
        <v>2148</v>
      </c>
      <c r="AA267" s="5">
        <v>46267.724999999999</v>
      </c>
      <c r="AB267" t="s">
        <v>1266</v>
      </c>
      <c r="AD267" t="s">
        <v>1268</v>
      </c>
      <c r="AE267" t="s">
        <v>1269</v>
      </c>
      <c r="AF267" t="s">
        <v>1270</v>
      </c>
    </row>
    <row r="268" spans="1:32" x14ac:dyDescent="0.25">
      <c r="A268">
        <v>756756</v>
      </c>
      <c r="B268">
        <v>254721638898</v>
      </c>
      <c r="C268" t="s">
        <v>2149</v>
      </c>
      <c r="D268" t="s">
        <v>1386</v>
      </c>
      <c r="F268" t="s">
        <v>1259</v>
      </c>
      <c r="G268">
        <v>19300</v>
      </c>
      <c r="H268">
        <v>0</v>
      </c>
      <c r="I268">
        <v>15</v>
      </c>
      <c r="J268">
        <v>0</v>
      </c>
      <c r="K268">
        <v>0</v>
      </c>
      <c r="L268">
        <v>0</v>
      </c>
      <c r="M268">
        <v>14361</v>
      </c>
      <c r="N268" s="4">
        <v>46267</v>
      </c>
      <c r="O268" t="s">
        <v>2150</v>
      </c>
      <c r="P268" t="s">
        <v>263</v>
      </c>
      <c r="T268" t="s">
        <v>1261</v>
      </c>
      <c r="U268" t="s">
        <v>1262</v>
      </c>
      <c r="V268">
        <v>5681718</v>
      </c>
      <c r="X268" t="s">
        <v>1263</v>
      </c>
      <c r="Y268" t="s">
        <v>2151</v>
      </c>
      <c r="Z268" t="s">
        <v>2151</v>
      </c>
      <c r="AA268" s="5">
        <v>46267.725694444445</v>
      </c>
      <c r="AB268" t="s">
        <v>1266</v>
      </c>
      <c r="AC268" t="s">
        <v>1293</v>
      </c>
      <c r="AD268" t="s">
        <v>1268</v>
      </c>
      <c r="AE268" t="s">
        <v>1269</v>
      </c>
      <c r="AF268" t="s">
        <v>1270</v>
      </c>
    </row>
    <row r="269" spans="1:32" x14ac:dyDescent="0.25">
      <c r="B269">
        <v>458445</v>
      </c>
      <c r="C269" t="s">
        <v>1332</v>
      </c>
      <c r="D269" t="s">
        <v>1257</v>
      </c>
      <c r="E269" t="s">
        <v>1258</v>
      </c>
      <c r="F269" t="s">
        <v>1259</v>
      </c>
      <c r="G269">
        <v>16398</v>
      </c>
      <c r="H269">
        <v>0</v>
      </c>
      <c r="I269">
        <v>82</v>
      </c>
      <c r="J269">
        <v>0</v>
      </c>
      <c r="K269">
        <v>1</v>
      </c>
      <c r="L269">
        <v>0</v>
      </c>
      <c r="M269">
        <v>257931.68799999999</v>
      </c>
      <c r="N269" s="4">
        <v>46267</v>
      </c>
      <c r="O269" t="s">
        <v>2152</v>
      </c>
      <c r="P269" t="s">
        <v>258</v>
      </c>
      <c r="S269" t="s">
        <v>1588</v>
      </c>
      <c r="T269" t="s">
        <v>1261</v>
      </c>
      <c r="U269" t="s">
        <v>1262</v>
      </c>
      <c r="V269">
        <v>600100</v>
      </c>
      <c r="W269" t="s">
        <v>1588</v>
      </c>
      <c r="X269" t="s">
        <v>1263</v>
      </c>
      <c r="Y269" t="s">
        <v>2153</v>
      </c>
      <c r="Z269" s="6" t="s">
        <v>262</v>
      </c>
      <c r="AA269" s="5">
        <v>46267.729861111111</v>
      </c>
      <c r="AB269" t="s">
        <v>1266</v>
      </c>
      <c r="AD269" t="s">
        <v>1268</v>
      </c>
      <c r="AE269" t="s">
        <v>1269</v>
      </c>
      <c r="AF269" t="s">
        <v>1270</v>
      </c>
    </row>
    <row r="270" spans="1:32" x14ac:dyDescent="0.25">
      <c r="B270">
        <v>784176</v>
      </c>
      <c r="C270" t="s">
        <v>1256</v>
      </c>
      <c r="D270" t="s">
        <v>1257</v>
      </c>
      <c r="E270" t="s">
        <v>1258</v>
      </c>
      <c r="F270" t="s">
        <v>1259</v>
      </c>
      <c r="G270">
        <v>3380</v>
      </c>
      <c r="H270">
        <v>0</v>
      </c>
      <c r="I270">
        <v>15</v>
      </c>
      <c r="J270">
        <v>0</v>
      </c>
      <c r="K270">
        <v>1</v>
      </c>
      <c r="L270">
        <v>0</v>
      </c>
      <c r="M270">
        <v>111717.97500000001</v>
      </c>
      <c r="N270" s="4">
        <v>46267</v>
      </c>
      <c r="O270" t="s">
        <v>2154</v>
      </c>
      <c r="P270" t="s">
        <v>253</v>
      </c>
      <c r="T270" t="s">
        <v>1261</v>
      </c>
      <c r="U270" t="s">
        <v>1262</v>
      </c>
      <c r="V270">
        <v>5210479</v>
      </c>
      <c r="X270" t="s">
        <v>1263</v>
      </c>
      <c r="Y270" t="s">
        <v>2155</v>
      </c>
      <c r="Z270" t="s">
        <v>2156</v>
      </c>
      <c r="AA270" s="5">
        <v>46267.731944444444</v>
      </c>
      <c r="AB270" t="s">
        <v>1266</v>
      </c>
      <c r="AC270" t="s">
        <v>1267</v>
      </c>
      <c r="AD270" t="s">
        <v>1268</v>
      </c>
      <c r="AE270" t="s">
        <v>1269</v>
      </c>
      <c r="AF270" t="s">
        <v>1270</v>
      </c>
    </row>
    <row r="271" spans="1:32" x14ac:dyDescent="0.25">
      <c r="B271">
        <v>784176</v>
      </c>
      <c r="C271" t="s">
        <v>1256</v>
      </c>
      <c r="D271" t="s">
        <v>1257</v>
      </c>
      <c r="E271" t="s">
        <v>1258</v>
      </c>
      <c r="F271" t="s">
        <v>1259</v>
      </c>
      <c r="G271">
        <v>2990</v>
      </c>
      <c r="H271">
        <v>0</v>
      </c>
      <c r="I271">
        <v>15</v>
      </c>
      <c r="J271">
        <v>0</v>
      </c>
      <c r="K271">
        <v>1</v>
      </c>
      <c r="L271">
        <v>0</v>
      </c>
      <c r="M271">
        <v>108711.97500000001</v>
      </c>
      <c r="N271" s="4">
        <v>46267</v>
      </c>
      <c r="O271" t="s">
        <v>2157</v>
      </c>
      <c r="P271" t="s">
        <v>249</v>
      </c>
      <c r="T271" t="s">
        <v>1261</v>
      </c>
      <c r="U271" t="s">
        <v>1262</v>
      </c>
      <c r="V271">
        <v>5198107</v>
      </c>
      <c r="X271" t="s">
        <v>1263</v>
      </c>
      <c r="Y271" t="s">
        <v>2158</v>
      </c>
      <c r="Z271" t="s">
        <v>2159</v>
      </c>
      <c r="AA271" s="5">
        <v>46267.73541666667</v>
      </c>
      <c r="AB271" t="s">
        <v>1266</v>
      </c>
      <c r="AC271" t="s">
        <v>1267</v>
      </c>
      <c r="AD271" t="s">
        <v>1268</v>
      </c>
      <c r="AE271" t="s">
        <v>1269</v>
      </c>
      <c r="AF271" t="s">
        <v>1270</v>
      </c>
    </row>
    <row r="272" spans="1:32" x14ac:dyDescent="0.25">
      <c r="B272">
        <v>458445</v>
      </c>
      <c r="C272" t="s">
        <v>1332</v>
      </c>
      <c r="D272" t="s">
        <v>1257</v>
      </c>
      <c r="E272" t="s">
        <v>1258</v>
      </c>
      <c r="F272" t="s">
        <v>1259</v>
      </c>
      <c r="G272">
        <v>24000</v>
      </c>
      <c r="H272">
        <v>0</v>
      </c>
      <c r="I272">
        <v>87</v>
      </c>
      <c r="J272">
        <v>0</v>
      </c>
      <c r="K272">
        <v>1</v>
      </c>
      <c r="L272">
        <v>0</v>
      </c>
      <c r="M272">
        <v>52700.688000000002</v>
      </c>
      <c r="N272" s="4">
        <v>46267</v>
      </c>
      <c r="O272" t="s">
        <v>2160</v>
      </c>
      <c r="P272" t="s">
        <v>247</v>
      </c>
      <c r="S272" t="s">
        <v>1719</v>
      </c>
      <c r="T272" t="s">
        <v>1261</v>
      </c>
      <c r="U272" t="s">
        <v>1262</v>
      </c>
      <c r="V272">
        <v>542542</v>
      </c>
      <c r="W272" t="s">
        <v>1719</v>
      </c>
      <c r="X272" t="s">
        <v>1263</v>
      </c>
      <c r="Y272" t="s">
        <v>2161</v>
      </c>
      <c r="Z272">
        <v>18784</v>
      </c>
      <c r="AA272" s="5">
        <v>46267.738888888889</v>
      </c>
      <c r="AB272" t="s">
        <v>1266</v>
      </c>
      <c r="AC272" t="s">
        <v>1267</v>
      </c>
      <c r="AD272" t="s">
        <v>1268</v>
      </c>
      <c r="AE272" t="s">
        <v>1269</v>
      </c>
      <c r="AF272" t="s">
        <v>1270</v>
      </c>
    </row>
    <row r="273" spans="1:32" x14ac:dyDescent="0.25">
      <c r="B273">
        <v>458445</v>
      </c>
      <c r="C273" t="s">
        <v>1332</v>
      </c>
      <c r="D273" t="s">
        <v>1257</v>
      </c>
      <c r="E273" t="s">
        <v>1258</v>
      </c>
      <c r="F273" t="s">
        <v>1259</v>
      </c>
      <c r="G273">
        <v>500</v>
      </c>
      <c r="H273">
        <v>0</v>
      </c>
      <c r="I273">
        <v>10</v>
      </c>
      <c r="J273">
        <v>0</v>
      </c>
      <c r="K273">
        <v>1</v>
      </c>
      <c r="L273">
        <v>0</v>
      </c>
      <c r="M273">
        <v>52189.688000000002</v>
      </c>
      <c r="N273" s="4">
        <v>46267</v>
      </c>
      <c r="O273" t="s">
        <v>2162</v>
      </c>
      <c r="P273" t="s">
        <v>245</v>
      </c>
      <c r="S273" t="s">
        <v>1719</v>
      </c>
      <c r="T273" t="s">
        <v>1261</v>
      </c>
      <c r="U273" t="s">
        <v>1262</v>
      </c>
      <c r="V273">
        <v>542542</v>
      </c>
      <c r="W273" t="s">
        <v>1719</v>
      </c>
      <c r="X273" t="s">
        <v>1263</v>
      </c>
      <c r="Y273" t="s">
        <v>2163</v>
      </c>
      <c r="Z273">
        <v>18785</v>
      </c>
      <c r="AA273" s="5">
        <v>46267.738888888889</v>
      </c>
      <c r="AB273" t="s">
        <v>1266</v>
      </c>
      <c r="AC273" t="s">
        <v>1267</v>
      </c>
      <c r="AD273" t="s">
        <v>1268</v>
      </c>
      <c r="AE273" t="s">
        <v>1269</v>
      </c>
      <c r="AF273" t="s">
        <v>1270</v>
      </c>
    </row>
    <row r="274" spans="1:32" x14ac:dyDescent="0.25">
      <c r="B274">
        <v>458445</v>
      </c>
      <c r="C274" t="s">
        <v>1332</v>
      </c>
      <c r="D274" t="s">
        <v>1257</v>
      </c>
      <c r="E274" t="s">
        <v>1258</v>
      </c>
      <c r="F274" t="s">
        <v>1259</v>
      </c>
      <c r="G274">
        <v>19999</v>
      </c>
      <c r="H274">
        <v>0</v>
      </c>
      <c r="I274">
        <v>82</v>
      </c>
      <c r="J274">
        <v>0</v>
      </c>
      <c r="K274">
        <v>1</v>
      </c>
      <c r="L274">
        <v>0</v>
      </c>
      <c r="M274">
        <v>32107.687999999998</v>
      </c>
      <c r="N274" s="4">
        <v>46267</v>
      </c>
      <c r="O274" t="s">
        <v>2164</v>
      </c>
      <c r="P274" t="s">
        <v>240</v>
      </c>
      <c r="S274" t="s">
        <v>2165</v>
      </c>
      <c r="T274" t="s">
        <v>1261</v>
      </c>
      <c r="U274" t="s">
        <v>1262</v>
      </c>
      <c r="V274">
        <v>4113485</v>
      </c>
      <c r="W274" t="s">
        <v>2165</v>
      </c>
      <c r="X274" t="s">
        <v>1263</v>
      </c>
      <c r="Y274" t="s">
        <v>2166</v>
      </c>
      <c r="Z274" t="s">
        <v>244</v>
      </c>
      <c r="AA274" s="5">
        <v>46267.740277777775</v>
      </c>
      <c r="AB274" t="s">
        <v>1266</v>
      </c>
      <c r="AD274" t="s">
        <v>1268</v>
      </c>
      <c r="AE274" t="s">
        <v>1269</v>
      </c>
      <c r="AF274" t="s">
        <v>1270</v>
      </c>
    </row>
    <row r="275" spans="1:32" x14ac:dyDescent="0.25">
      <c r="B275">
        <v>469005</v>
      </c>
      <c r="C275" t="s">
        <v>1528</v>
      </c>
      <c r="D275" t="s">
        <v>1257</v>
      </c>
      <c r="E275" t="s">
        <v>1258</v>
      </c>
      <c r="F275" t="s">
        <v>1259</v>
      </c>
      <c r="G275">
        <v>1000</v>
      </c>
      <c r="H275">
        <v>0</v>
      </c>
      <c r="I275">
        <v>10</v>
      </c>
      <c r="J275">
        <v>0</v>
      </c>
      <c r="K275">
        <v>1</v>
      </c>
      <c r="L275">
        <v>0</v>
      </c>
      <c r="M275">
        <v>761.2</v>
      </c>
      <c r="N275" s="4">
        <v>46267</v>
      </c>
      <c r="O275" t="s">
        <v>2167</v>
      </c>
      <c r="P275" t="s">
        <v>236</v>
      </c>
      <c r="T275" t="s">
        <v>1261</v>
      </c>
      <c r="U275" t="s">
        <v>1262</v>
      </c>
      <c r="V275">
        <v>4293700</v>
      </c>
      <c r="X275" t="s">
        <v>1263</v>
      </c>
      <c r="Y275" t="s">
        <v>2168</v>
      </c>
      <c r="Z275" t="s">
        <v>2168</v>
      </c>
      <c r="AA275" s="5">
        <v>46267.743750000001</v>
      </c>
      <c r="AB275" t="s">
        <v>1266</v>
      </c>
      <c r="AC275" t="s">
        <v>1531</v>
      </c>
      <c r="AD275" t="s">
        <v>1268</v>
      </c>
      <c r="AE275" t="s">
        <v>1269</v>
      </c>
      <c r="AF275" t="s">
        <v>1270</v>
      </c>
    </row>
    <row r="276" spans="1:32" x14ac:dyDescent="0.25">
      <c r="A276">
        <v>756756</v>
      </c>
      <c r="B276">
        <v>254708582465</v>
      </c>
      <c r="C276" t="s">
        <v>2169</v>
      </c>
      <c r="D276" t="s">
        <v>1386</v>
      </c>
      <c r="F276" t="s">
        <v>1259</v>
      </c>
      <c r="G276">
        <v>1663</v>
      </c>
      <c r="H276">
        <v>0</v>
      </c>
      <c r="I276">
        <v>10</v>
      </c>
      <c r="J276">
        <v>0</v>
      </c>
      <c r="K276">
        <v>0</v>
      </c>
      <c r="L276">
        <v>0</v>
      </c>
      <c r="M276">
        <v>22636.14</v>
      </c>
      <c r="N276" s="4">
        <v>46267</v>
      </c>
      <c r="O276" t="s">
        <v>2170</v>
      </c>
      <c r="P276" t="s">
        <v>232</v>
      </c>
      <c r="T276" t="s">
        <v>1261</v>
      </c>
      <c r="U276" t="s">
        <v>1262</v>
      </c>
      <c r="V276">
        <v>9481423</v>
      </c>
      <c r="X276" t="s">
        <v>1263</v>
      </c>
      <c r="Y276" t="s">
        <v>2171</v>
      </c>
      <c r="Z276" t="s">
        <v>2171</v>
      </c>
      <c r="AA276" s="5">
        <v>46267.77847222222</v>
      </c>
      <c r="AB276" t="s">
        <v>1266</v>
      </c>
      <c r="AC276" t="s">
        <v>1293</v>
      </c>
      <c r="AD276" t="s">
        <v>1268</v>
      </c>
      <c r="AE276" t="s">
        <v>1269</v>
      </c>
      <c r="AF276" t="s">
        <v>1270</v>
      </c>
    </row>
    <row r="277" spans="1:32" x14ac:dyDescent="0.25">
      <c r="B277">
        <v>458445</v>
      </c>
      <c r="C277" t="s">
        <v>1332</v>
      </c>
      <c r="D277" t="s">
        <v>1257</v>
      </c>
      <c r="E277" t="s">
        <v>1258</v>
      </c>
      <c r="F277" t="s">
        <v>1259</v>
      </c>
      <c r="G277">
        <v>42000</v>
      </c>
      <c r="H277">
        <v>0</v>
      </c>
      <c r="I277">
        <v>130</v>
      </c>
      <c r="J277">
        <v>0</v>
      </c>
      <c r="K277">
        <v>1</v>
      </c>
      <c r="L277">
        <v>0</v>
      </c>
      <c r="M277">
        <v>451397.69</v>
      </c>
      <c r="N277" s="4">
        <v>46267</v>
      </c>
      <c r="O277" t="s">
        <v>2172</v>
      </c>
      <c r="P277" t="s">
        <v>230</v>
      </c>
      <c r="S277" t="s">
        <v>1719</v>
      </c>
      <c r="T277" t="s">
        <v>1261</v>
      </c>
      <c r="U277" t="s">
        <v>1262</v>
      </c>
      <c r="V277">
        <v>542542</v>
      </c>
      <c r="W277" t="s">
        <v>1719</v>
      </c>
      <c r="X277" t="s">
        <v>1263</v>
      </c>
      <c r="Y277" t="s">
        <v>2173</v>
      </c>
      <c r="Z277">
        <v>18789</v>
      </c>
      <c r="AA277" s="5">
        <v>46267.78125</v>
      </c>
      <c r="AB277" t="s">
        <v>1266</v>
      </c>
      <c r="AC277" t="s">
        <v>1267</v>
      </c>
      <c r="AD277" t="s">
        <v>1268</v>
      </c>
      <c r="AE277" t="s">
        <v>1269</v>
      </c>
      <c r="AF277" t="s">
        <v>1270</v>
      </c>
    </row>
    <row r="278" spans="1:32" x14ac:dyDescent="0.25">
      <c r="B278">
        <v>458445</v>
      </c>
      <c r="C278" t="s">
        <v>1332</v>
      </c>
      <c r="D278" t="s">
        <v>1257</v>
      </c>
      <c r="E278" t="s">
        <v>1258</v>
      </c>
      <c r="F278" t="s">
        <v>1259</v>
      </c>
      <c r="G278">
        <v>500</v>
      </c>
      <c r="H278">
        <v>0</v>
      </c>
      <c r="I278">
        <v>10</v>
      </c>
      <c r="J278">
        <v>0</v>
      </c>
      <c r="K278">
        <v>1</v>
      </c>
      <c r="L278">
        <v>0</v>
      </c>
      <c r="M278">
        <v>450886.69</v>
      </c>
      <c r="N278" s="4">
        <v>46267</v>
      </c>
      <c r="O278" t="s">
        <v>2174</v>
      </c>
      <c r="P278" t="s">
        <v>225</v>
      </c>
      <c r="S278" t="s">
        <v>1719</v>
      </c>
      <c r="T278" t="s">
        <v>1261</v>
      </c>
      <c r="U278" t="s">
        <v>1262</v>
      </c>
      <c r="V278">
        <v>542542</v>
      </c>
      <c r="W278" t="s">
        <v>1719</v>
      </c>
      <c r="X278" t="s">
        <v>1263</v>
      </c>
      <c r="Y278" t="s">
        <v>2175</v>
      </c>
      <c r="Z278">
        <v>18790</v>
      </c>
      <c r="AA278" s="5">
        <v>46267.78125</v>
      </c>
      <c r="AB278" t="s">
        <v>1266</v>
      </c>
      <c r="AC278" t="s">
        <v>1267</v>
      </c>
      <c r="AD278" t="s">
        <v>1268</v>
      </c>
      <c r="AE278" t="s">
        <v>1269</v>
      </c>
      <c r="AF278" t="s">
        <v>1270</v>
      </c>
    </row>
    <row r="279" spans="1:32" x14ac:dyDescent="0.25">
      <c r="B279">
        <v>318827</v>
      </c>
      <c r="C279" t="s">
        <v>2176</v>
      </c>
      <c r="D279" t="s">
        <v>1257</v>
      </c>
      <c r="E279" t="s">
        <v>1258</v>
      </c>
      <c r="F279" t="s">
        <v>1259</v>
      </c>
      <c r="G279">
        <v>12000</v>
      </c>
      <c r="H279">
        <v>0</v>
      </c>
      <c r="I279">
        <v>72</v>
      </c>
      <c r="J279">
        <v>0</v>
      </c>
      <c r="K279">
        <v>1</v>
      </c>
      <c r="L279">
        <v>0</v>
      </c>
      <c r="M279">
        <v>7272.3360000000002</v>
      </c>
      <c r="N279" s="4">
        <v>46267</v>
      </c>
      <c r="O279" t="s">
        <v>2177</v>
      </c>
      <c r="P279" t="s">
        <v>222</v>
      </c>
      <c r="S279" t="s">
        <v>1407</v>
      </c>
      <c r="T279" t="s">
        <v>1261</v>
      </c>
      <c r="U279" t="s">
        <v>1262</v>
      </c>
      <c r="V279">
        <v>400222</v>
      </c>
      <c r="W279" t="s">
        <v>1407</v>
      </c>
      <c r="X279" t="s">
        <v>1263</v>
      </c>
      <c r="Y279" t="s">
        <v>2178</v>
      </c>
      <c r="Z279" t="s">
        <v>2179</v>
      </c>
      <c r="AA279" s="5">
        <v>46267.782638888886</v>
      </c>
      <c r="AB279" t="s">
        <v>1266</v>
      </c>
      <c r="AC279" t="s">
        <v>1267</v>
      </c>
      <c r="AD279" t="s">
        <v>1268</v>
      </c>
      <c r="AE279" t="s">
        <v>1269</v>
      </c>
      <c r="AF279" t="s">
        <v>1270</v>
      </c>
    </row>
    <row r="280" spans="1:32" x14ac:dyDescent="0.25">
      <c r="B280">
        <v>379411</v>
      </c>
      <c r="C280" t="s">
        <v>1524</v>
      </c>
      <c r="D280" t="s">
        <v>1257</v>
      </c>
      <c r="F280" t="s">
        <v>1259</v>
      </c>
      <c r="G280">
        <v>67400</v>
      </c>
      <c r="H280">
        <v>0</v>
      </c>
      <c r="I280">
        <v>136</v>
      </c>
      <c r="J280">
        <v>0</v>
      </c>
      <c r="K280">
        <v>1</v>
      </c>
      <c r="L280">
        <v>0</v>
      </c>
      <c r="M280">
        <v>667341.87199999997</v>
      </c>
      <c r="N280" s="4">
        <v>46267</v>
      </c>
      <c r="O280" t="s">
        <v>2180</v>
      </c>
      <c r="P280" t="s">
        <v>216</v>
      </c>
      <c r="S280" t="s">
        <v>1326</v>
      </c>
      <c r="T280" t="s">
        <v>1261</v>
      </c>
      <c r="U280" t="s">
        <v>1262</v>
      </c>
      <c r="V280">
        <v>247247</v>
      </c>
      <c r="W280" t="s">
        <v>1326</v>
      </c>
      <c r="X280" t="s">
        <v>1263</v>
      </c>
      <c r="Y280" t="s">
        <v>2181</v>
      </c>
      <c r="Z280" t="s">
        <v>2182</v>
      </c>
      <c r="AA280" s="5">
        <v>46267.784722222219</v>
      </c>
      <c r="AB280" t="s">
        <v>1266</v>
      </c>
      <c r="AC280" t="s">
        <v>1267</v>
      </c>
      <c r="AD280" t="s">
        <v>1268</v>
      </c>
      <c r="AE280" t="s">
        <v>1269</v>
      </c>
      <c r="AF280" t="s">
        <v>1270</v>
      </c>
    </row>
    <row r="281" spans="1:32" x14ac:dyDescent="0.25">
      <c r="B281">
        <v>318827</v>
      </c>
      <c r="C281" t="s">
        <v>2176</v>
      </c>
      <c r="D281" t="s">
        <v>1257</v>
      </c>
      <c r="E281" t="s">
        <v>1258</v>
      </c>
      <c r="F281" t="s">
        <v>1259</v>
      </c>
      <c r="G281">
        <v>750</v>
      </c>
      <c r="H281">
        <v>0</v>
      </c>
      <c r="I281">
        <v>20</v>
      </c>
      <c r="J281">
        <v>0</v>
      </c>
      <c r="K281">
        <v>1</v>
      </c>
      <c r="L281">
        <v>0</v>
      </c>
      <c r="M281">
        <v>7249.8360000000002</v>
      </c>
      <c r="N281" s="4">
        <v>46267</v>
      </c>
      <c r="O281" t="s">
        <v>2183</v>
      </c>
      <c r="P281" t="s">
        <v>213</v>
      </c>
      <c r="S281" t="s">
        <v>1407</v>
      </c>
      <c r="T281" t="s">
        <v>1261</v>
      </c>
      <c r="U281" t="s">
        <v>1262</v>
      </c>
      <c r="V281">
        <v>400222</v>
      </c>
      <c r="W281" t="s">
        <v>1407</v>
      </c>
      <c r="X281" t="s">
        <v>1263</v>
      </c>
      <c r="Y281" t="s">
        <v>2184</v>
      </c>
      <c r="Z281" t="s">
        <v>2185</v>
      </c>
      <c r="AA281" s="5">
        <v>46267.785416666666</v>
      </c>
      <c r="AB281" t="s">
        <v>1266</v>
      </c>
      <c r="AC281" t="s">
        <v>1267</v>
      </c>
      <c r="AD281" t="s">
        <v>1268</v>
      </c>
      <c r="AE281" t="s">
        <v>1269</v>
      </c>
      <c r="AF281" t="s">
        <v>1270</v>
      </c>
    </row>
    <row r="282" spans="1:32" hidden="1" x14ac:dyDescent="0.25">
      <c r="A282">
        <v>455555</v>
      </c>
      <c r="B282">
        <v>896279</v>
      </c>
      <c r="C282" t="s">
        <v>2186</v>
      </c>
      <c r="D282" t="s">
        <v>1286</v>
      </c>
      <c r="F282" t="s">
        <v>1259</v>
      </c>
      <c r="G282">
        <v>250</v>
      </c>
      <c r="H282">
        <v>0</v>
      </c>
      <c r="I282">
        <v>10</v>
      </c>
      <c r="J282">
        <v>0</v>
      </c>
      <c r="K282">
        <v>0</v>
      </c>
      <c r="L282">
        <v>0</v>
      </c>
      <c r="M282">
        <v>11508</v>
      </c>
      <c r="N282" s="4">
        <v>46267</v>
      </c>
      <c r="O282" t="s">
        <v>2187</v>
      </c>
      <c r="Q282" t="s">
        <v>2188</v>
      </c>
      <c r="T282" t="s">
        <v>1261</v>
      </c>
      <c r="U282" t="s">
        <v>1262</v>
      </c>
      <c r="V282">
        <v>40781</v>
      </c>
      <c r="X282" t="s">
        <v>1263</v>
      </c>
      <c r="Y282" t="s">
        <v>2189</v>
      </c>
      <c r="Z282" t="s">
        <v>2189</v>
      </c>
      <c r="AA282" s="5">
        <v>46267.786805555559</v>
      </c>
      <c r="AB282" t="s">
        <v>1345</v>
      </c>
      <c r="AC282" t="s">
        <v>1293</v>
      </c>
      <c r="AD282" t="s">
        <v>1346</v>
      </c>
      <c r="AE282" t="s">
        <v>1347</v>
      </c>
      <c r="AF282" t="s">
        <v>1561</v>
      </c>
    </row>
    <row r="283" spans="1:32" x14ac:dyDescent="0.25">
      <c r="A283">
        <v>455555</v>
      </c>
      <c r="B283">
        <v>896279</v>
      </c>
      <c r="C283" t="s">
        <v>2186</v>
      </c>
      <c r="D283" t="s">
        <v>1286</v>
      </c>
      <c r="F283" t="s">
        <v>1259</v>
      </c>
      <c r="G283">
        <v>250</v>
      </c>
      <c r="H283">
        <v>0</v>
      </c>
      <c r="I283">
        <v>10</v>
      </c>
      <c r="J283">
        <v>0</v>
      </c>
      <c r="K283">
        <v>0</v>
      </c>
      <c r="L283">
        <v>0</v>
      </c>
      <c r="M283">
        <v>11248</v>
      </c>
      <c r="N283" s="4">
        <v>46267</v>
      </c>
      <c r="O283" t="s">
        <v>2190</v>
      </c>
      <c r="P283" t="s">
        <v>2191</v>
      </c>
      <c r="T283" t="s">
        <v>1261</v>
      </c>
      <c r="U283" t="s">
        <v>1262</v>
      </c>
      <c r="V283">
        <v>3529750</v>
      </c>
      <c r="X283" t="s">
        <v>1263</v>
      </c>
      <c r="Y283" t="s">
        <v>2192</v>
      </c>
      <c r="Z283" t="s">
        <v>2192</v>
      </c>
      <c r="AA283" s="5">
        <v>46267.788194444445</v>
      </c>
      <c r="AB283" t="s">
        <v>1266</v>
      </c>
      <c r="AC283" t="s">
        <v>1293</v>
      </c>
      <c r="AD283" t="s">
        <v>1268</v>
      </c>
      <c r="AE283" t="s">
        <v>1269</v>
      </c>
      <c r="AF283" t="s">
        <v>1270</v>
      </c>
    </row>
    <row r="284" spans="1:32" x14ac:dyDescent="0.25">
      <c r="A284">
        <v>756756</v>
      </c>
      <c r="B284">
        <v>254797413147</v>
      </c>
      <c r="C284" t="s">
        <v>1294</v>
      </c>
      <c r="D284" t="s">
        <v>1286</v>
      </c>
      <c r="F284" t="s">
        <v>1259</v>
      </c>
      <c r="G284">
        <v>50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301</v>
      </c>
      <c r="N284" s="4">
        <v>46267</v>
      </c>
      <c r="O284" t="s">
        <v>2193</v>
      </c>
      <c r="P284" t="s">
        <v>211</v>
      </c>
      <c r="T284" t="s">
        <v>1261</v>
      </c>
      <c r="U284" t="s">
        <v>1262</v>
      </c>
      <c r="V284">
        <v>6721699</v>
      </c>
      <c r="X284" t="s">
        <v>1263</v>
      </c>
      <c r="Y284" t="s">
        <v>2194</v>
      </c>
      <c r="Z284" t="s">
        <v>2194</v>
      </c>
      <c r="AA284" s="5">
        <v>46267.804861111108</v>
      </c>
      <c r="AB284" t="s">
        <v>1266</v>
      </c>
      <c r="AC284" t="s">
        <v>1293</v>
      </c>
      <c r="AD284" t="s">
        <v>1268</v>
      </c>
      <c r="AE284" t="s">
        <v>1269</v>
      </c>
      <c r="AF284" t="s">
        <v>1270</v>
      </c>
    </row>
    <row r="285" spans="1:32" x14ac:dyDescent="0.25">
      <c r="A285">
        <v>756756</v>
      </c>
      <c r="B285">
        <v>254797413147</v>
      </c>
      <c r="C285" t="s">
        <v>1294</v>
      </c>
      <c r="D285" t="s">
        <v>1286</v>
      </c>
      <c r="F285" t="s">
        <v>1259</v>
      </c>
      <c r="G285">
        <v>100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201</v>
      </c>
      <c r="N285" s="4">
        <v>46267</v>
      </c>
      <c r="O285" t="s">
        <v>2195</v>
      </c>
      <c r="P285" t="s">
        <v>207</v>
      </c>
      <c r="T285" t="s">
        <v>1261</v>
      </c>
      <c r="U285" t="s">
        <v>1262</v>
      </c>
      <c r="V285">
        <v>6721699</v>
      </c>
      <c r="X285" t="s">
        <v>1263</v>
      </c>
      <c r="Y285" t="s">
        <v>2196</v>
      </c>
      <c r="Z285" t="s">
        <v>2196</v>
      </c>
      <c r="AA285" s="5">
        <v>46267.808333333334</v>
      </c>
      <c r="AB285" t="s">
        <v>1266</v>
      </c>
      <c r="AC285" t="s">
        <v>1293</v>
      </c>
      <c r="AD285" t="s">
        <v>1268</v>
      </c>
      <c r="AE285" t="s">
        <v>1269</v>
      </c>
      <c r="AF285" t="s">
        <v>1270</v>
      </c>
    </row>
    <row r="286" spans="1:32" x14ac:dyDescent="0.25">
      <c r="A286">
        <v>455555</v>
      </c>
      <c r="B286">
        <v>392688</v>
      </c>
      <c r="C286" t="s">
        <v>2197</v>
      </c>
      <c r="D286" t="s">
        <v>1286</v>
      </c>
      <c r="F286" t="s">
        <v>1259</v>
      </c>
      <c r="G286">
        <v>170</v>
      </c>
      <c r="H286">
        <v>0</v>
      </c>
      <c r="I286">
        <v>10</v>
      </c>
      <c r="J286">
        <v>0</v>
      </c>
      <c r="K286">
        <v>0</v>
      </c>
      <c r="L286">
        <v>0</v>
      </c>
      <c r="M286">
        <v>573</v>
      </c>
      <c r="N286" s="4">
        <v>46267</v>
      </c>
      <c r="O286" t="s">
        <v>2198</v>
      </c>
      <c r="P286" t="s">
        <v>2199</v>
      </c>
      <c r="T286" t="s">
        <v>1261</v>
      </c>
      <c r="U286" t="s">
        <v>1262</v>
      </c>
      <c r="V286">
        <v>6281575</v>
      </c>
      <c r="X286" t="s">
        <v>1263</v>
      </c>
      <c r="Y286" t="s">
        <v>2200</v>
      </c>
      <c r="Z286" t="s">
        <v>2200</v>
      </c>
      <c r="AA286" s="5">
        <v>46267.811111111114</v>
      </c>
      <c r="AB286" t="s">
        <v>1266</v>
      </c>
      <c r="AC286" t="s">
        <v>1293</v>
      </c>
      <c r="AD286" t="s">
        <v>1268</v>
      </c>
      <c r="AE286" t="s">
        <v>1269</v>
      </c>
      <c r="AF286" t="s">
        <v>1270</v>
      </c>
    </row>
    <row r="287" spans="1:32" x14ac:dyDescent="0.25">
      <c r="B287">
        <v>318827</v>
      </c>
      <c r="C287" t="s">
        <v>2176</v>
      </c>
      <c r="D287" t="s">
        <v>1257</v>
      </c>
      <c r="E287" t="s">
        <v>1258</v>
      </c>
      <c r="F287" t="s">
        <v>1259</v>
      </c>
      <c r="G287">
        <v>8000</v>
      </c>
      <c r="H287">
        <v>0</v>
      </c>
      <c r="I287">
        <v>63</v>
      </c>
      <c r="J287">
        <v>0</v>
      </c>
      <c r="K287">
        <v>1</v>
      </c>
      <c r="L287">
        <v>0</v>
      </c>
      <c r="M287">
        <v>7169.8360000000002</v>
      </c>
      <c r="N287" s="4">
        <v>46267</v>
      </c>
      <c r="O287" t="s">
        <v>2201</v>
      </c>
      <c r="P287" t="s">
        <v>204</v>
      </c>
      <c r="S287" t="s">
        <v>1407</v>
      </c>
      <c r="T287" t="s">
        <v>1261</v>
      </c>
      <c r="U287" t="s">
        <v>1262</v>
      </c>
      <c r="V287">
        <v>400222</v>
      </c>
      <c r="W287" t="s">
        <v>1407</v>
      </c>
      <c r="X287" t="s">
        <v>1263</v>
      </c>
      <c r="Y287" t="s">
        <v>2202</v>
      </c>
      <c r="Z287" t="s">
        <v>2203</v>
      </c>
      <c r="AA287" s="5">
        <v>46267.818055555559</v>
      </c>
      <c r="AB287" t="s">
        <v>1266</v>
      </c>
      <c r="AC287" t="s">
        <v>1267</v>
      </c>
      <c r="AD287" t="s">
        <v>1268</v>
      </c>
      <c r="AE287" t="s">
        <v>1269</v>
      </c>
      <c r="AF287" t="s">
        <v>1270</v>
      </c>
    </row>
    <row r="288" spans="1:32" x14ac:dyDescent="0.25">
      <c r="B288">
        <v>318827</v>
      </c>
      <c r="C288" t="s">
        <v>2176</v>
      </c>
      <c r="D288" t="s">
        <v>1257</v>
      </c>
      <c r="E288" t="s">
        <v>1258</v>
      </c>
      <c r="F288" t="s">
        <v>1259</v>
      </c>
      <c r="G288">
        <v>300</v>
      </c>
      <c r="H288">
        <v>0</v>
      </c>
      <c r="I288">
        <v>10</v>
      </c>
      <c r="J288">
        <v>0</v>
      </c>
      <c r="K288">
        <v>1</v>
      </c>
      <c r="L288">
        <v>0</v>
      </c>
      <c r="M288">
        <v>7158.2359999999999</v>
      </c>
      <c r="N288" s="4">
        <v>46267</v>
      </c>
      <c r="O288" t="s">
        <v>2204</v>
      </c>
      <c r="P288" t="s">
        <v>201</v>
      </c>
      <c r="S288" t="s">
        <v>1407</v>
      </c>
      <c r="T288" t="s">
        <v>1261</v>
      </c>
      <c r="U288" t="s">
        <v>1262</v>
      </c>
      <c r="V288">
        <v>400222</v>
      </c>
      <c r="W288" t="s">
        <v>1407</v>
      </c>
      <c r="X288" t="s">
        <v>1263</v>
      </c>
      <c r="Y288" t="s">
        <v>2205</v>
      </c>
      <c r="Z288" t="s">
        <v>2206</v>
      </c>
      <c r="AA288" s="5">
        <v>46267.819444444445</v>
      </c>
      <c r="AB288" t="s">
        <v>1266</v>
      </c>
      <c r="AC288" t="s">
        <v>1267</v>
      </c>
      <c r="AD288" t="s">
        <v>1268</v>
      </c>
      <c r="AE288" t="s">
        <v>1269</v>
      </c>
      <c r="AF288" t="s">
        <v>1270</v>
      </c>
    </row>
    <row r="289" spans="1:32" x14ac:dyDescent="0.25">
      <c r="A289">
        <v>756756</v>
      </c>
      <c r="B289">
        <v>164621</v>
      </c>
      <c r="C289" t="s">
        <v>1519</v>
      </c>
      <c r="D289" t="s">
        <v>1320</v>
      </c>
      <c r="F289" t="s">
        <v>1259</v>
      </c>
      <c r="G289">
        <v>450</v>
      </c>
      <c r="H289">
        <v>0</v>
      </c>
      <c r="I289">
        <v>10</v>
      </c>
      <c r="J289">
        <v>0</v>
      </c>
      <c r="K289">
        <v>0</v>
      </c>
      <c r="L289">
        <v>0</v>
      </c>
      <c r="M289">
        <v>7072.97</v>
      </c>
      <c r="N289" s="4">
        <v>46267</v>
      </c>
      <c r="O289" t="s">
        <v>2207</v>
      </c>
      <c r="P289" t="s">
        <v>197</v>
      </c>
      <c r="T289" t="s">
        <v>1261</v>
      </c>
      <c r="U289" t="s">
        <v>1262</v>
      </c>
      <c r="V289">
        <v>4885582</v>
      </c>
      <c r="X289" t="s">
        <v>1263</v>
      </c>
      <c r="Y289" t="s">
        <v>2208</v>
      </c>
      <c r="Z289" t="s">
        <v>2208</v>
      </c>
      <c r="AA289" s="5">
        <v>46267.834027777775</v>
      </c>
      <c r="AB289" t="s">
        <v>1266</v>
      </c>
      <c r="AC289" t="s">
        <v>1293</v>
      </c>
      <c r="AD289" t="s">
        <v>1268</v>
      </c>
      <c r="AE289" t="s">
        <v>1269</v>
      </c>
      <c r="AF289" t="s">
        <v>1270</v>
      </c>
    </row>
    <row r="290" spans="1:32" x14ac:dyDescent="0.25">
      <c r="A290">
        <v>455555</v>
      </c>
      <c r="B290">
        <v>476599</v>
      </c>
      <c r="C290" t="s">
        <v>2209</v>
      </c>
      <c r="D290" t="s">
        <v>1386</v>
      </c>
      <c r="F290" t="s">
        <v>1259</v>
      </c>
      <c r="G290">
        <v>30000</v>
      </c>
      <c r="H290">
        <v>0</v>
      </c>
      <c r="I290">
        <v>92</v>
      </c>
      <c r="J290">
        <v>0</v>
      </c>
      <c r="K290">
        <v>0</v>
      </c>
      <c r="L290">
        <v>0</v>
      </c>
      <c r="M290">
        <v>10328</v>
      </c>
      <c r="N290" s="4">
        <v>46267</v>
      </c>
      <c r="O290" t="s">
        <v>2210</v>
      </c>
      <c r="P290" t="s">
        <v>2211</v>
      </c>
      <c r="S290" t="s">
        <v>1604</v>
      </c>
      <c r="T290" t="s">
        <v>1261</v>
      </c>
      <c r="U290" t="s">
        <v>1262</v>
      </c>
      <c r="V290">
        <v>880100</v>
      </c>
      <c r="W290" t="s">
        <v>1604</v>
      </c>
      <c r="X290" t="s">
        <v>1263</v>
      </c>
      <c r="Y290" t="s">
        <v>2212</v>
      </c>
      <c r="Z290">
        <v>1441710028</v>
      </c>
      <c r="AA290" s="5">
        <v>46267.835416666669</v>
      </c>
      <c r="AB290" t="s">
        <v>1266</v>
      </c>
      <c r="AC290" t="s">
        <v>1293</v>
      </c>
      <c r="AD290" t="s">
        <v>1268</v>
      </c>
      <c r="AE290" t="s">
        <v>1269</v>
      </c>
      <c r="AF290" t="s">
        <v>1270</v>
      </c>
    </row>
    <row r="291" spans="1:32" x14ac:dyDescent="0.25">
      <c r="B291">
        <v>469094</v>
      </c>
      <c r="C291" t="s">
        <v>2213</v>
      </c>
      <c r="D291" t="s">
        <v>1257</v>
      </c>
      <c r="E291" t="s">
        <v>1258</v>
      </c>
      <c r="F291" t="s">
        <v>1259</v>
      </c>
      <c r="G291">
        <v>17366</v>
      </c>
      <c r="H291">
        <v>0</v>
      </c>
      <c r="I291">
        <v>82</v>
      </c>
      <c r="J291">
        <v>0</v>
      </c>
      <c r="K291">
        <v>0</v>
      </c>
      <c r="L291">
        <v>0</v>
      </c>
      <c r="M291">
        <v>175373.48</v>
      </c>
      <c r="N291" s="4">
        <v>46267</v>
      </c>
      <c r="O291" t="s">
        <v>2214</v>
      </c>
      <c r="P291" t="s">
        <v>191</v>
      </c>
      <c r="S291" t="s">
        <v>2215</v>
      </c>
      <c r="T291" t="s">
        <v>1261</v>
      </c>
      <c r="U291" t="s">
        <v>1262</v>
      </c>
      <c r="V291">
        <v>982100</v>
      </c>
      <c r="W291" t="s">
        <v>2215</v>
      </c>
      <c r="X291" t="s">
        <v>1263</v>
      </c>
      <c r="Y291" t="s">
        <v>2216</v>
      </c>
      <c r="Z291" t="s">
        <v>2217</v>
      </c>
      <c r="AA291" s="5">
        <v>46267.836111111108</v>
      </c>
      <c r="AB291" t="s">
        <v>1266</v>
      </c>
      <c r="AC291" t="s">
        <v>1267</v>
      </c>
      <c r="AD291" t="s">
        <v>1268</v>
      </c>
      <c r="AE291" t="s">
        <v>1269</v>
      </c>
      <c r="AF291" t="s">
        <v>1270</v>
      </c>
    </row>
    <row r="292" spans="1:32" x14ac:dyDescent="0.25">
      <c r="B292">
        <v>1699808</v>
      </c>
      <c r="C292" t="s">
        <v>2218</v>
      </c>
      <c r="D292" t="s">
        <v>1286</v>
      </c>
      <c r="F292" t="s">
        <v>1259</v>
      </c>
      <c r="G292">
        <v>18000</v>
      </c>
      <c r="H292">
        <v>0</v>
      </c>
      <c r="I292">
        <v>82</v>
      </c>
      <c r="J292">
        <v>18</v>
      </c>
      <c r="K292">
        <v>0</v>
      </c>
      <c r="L292">
        <v>0</v>
      </c>
      <c r="M292">
        <v>23718</v>
      </c>
      <c r="N292" s="4">
        <v>46267</v>
      </c>
      <c r="O292" t="s">
        <v>2219</v>
      </c>
      <c r="P292" t="s">
        <v>186</v>
      </c>
      <c r="S292" t="s">
        <v>2220</v>
      </c>
      <c r="T292" t="s">
        <v>1261</v>
      </c>
      <c r="U292" t="s">
        <v>1262</v>
      </c>
      <c r="V292">
        <v>1699808</v>
      </c>
      <c r="W292" t="s">
        <v>2220</v>
      </c>
      <c r="X292" t="s">
        <v>1263</v>
      </c>
      <c r="Y292" t="s">
        <v>2221</v>
      </c>
      <c r="Z292" t="s">
        <v>2222</v>
      </c>
      <c r="AA292" s="5">
        <v>46267.837500000001</v>
      </c>
      <c r="AB292" t="s">
        <v>1266</v>
      </c>
      <c r="AD292" t="s">
        <v>1268</v>
      </c>
      <c r="AE292" t="s">
        <v>1269</v>
      </c>
      <c r="AF292" t="s">
        <v>1270</v>
      </c>
    </row>
    <row r="293" spans="1:32" x14ac:dyDescent="0.25">
      <c r="A293">
        <v>756756</v>
      </c>
      <c r="B293">
        <v>254711665578</v>
      </c>
      <c r="C293" t="s">
        <v>2223</v>
      </c>
      <c r="D293" t="s">
        <v>1286</v>
      </c>
      <c r="F293" t="s">
        <v>1259</v>
      </c>
      <c r="G293">
        <v>15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229</v>
      </c>
      <c r="N293" s="4">
        <v>46267</v>
      </c>
      <c r="O293" t="s">
        <v>2224</v>
      </c>
      <c r="P293" t="s">
        <v>182</v>
      </c>
      <c r="T293" t="s">
        <v>1261</v>
      </c>
      <c r="U293" t="s">
        <v>1262</v>
      </c>
      <c r="V293">
        <v>5185173</v>
      </c>
      <c r="X293" t="s">
        <v>1263</v>
      </c>
      <c r="Y293" t="s">
        <v>2225</v>
      </c>
      <c r="Z293" t="s">
        <v>2225</v>
      </c>
      <c r="AA293" s="5">
        <v>46267.838194444441</v>
      </c>
      <c r="AB293" t="s">
        <v>1266</v>
      </c>
      <c r="AC293" t="s">
        <v>1293</v>
      </c>
      <c r="AD293" t="s">
        <v>1268</v>
      </c>
      <c r="AE293" t="s">
        <v>1269</v>
      </c>
      <c r="AF293" t="s">
        <v>1270</v>
      </c>
    </row>
    <row r="294" spans="1:32" x14ac:dyDescent="0.25">
      <c r="B294">
        <v>445424</v>
      </c>
      <c r="C294" t="s">
        <v>2226</v>
      </c>
      <c r="D294" t="s">
        <v>1286</v>
      </c>
      <c r="F294" t="s">
        <v>1259</v>
      </c>
      <c r="G294">
        <v>500</v>
      </c>
      <c r="H294">
        <v>0</v>
      </c>
      <c r="I294">
        <v>10</v>
      </c>
      <c r="J294">
        <v>2</v>
      </c>
      <c r="K294">
        <v>0</v>
      </c>
      <c r="L294">
        <v>0</v>
      </c>
      <c r="M294">
        <v>44528</v>
      </c>
      <c r="N294" s="4">
        <v>46267</v>
      </c>
      <c r="O294" t="s">
        <v>2227</v>
      </c>
      <c r="P294" t="s">
        <v>177</v>
      </c>
      <c r="T294" t="s">
        <v>1261</v>
      </c>
      <c r="U294" t="s">
        <v>1262</v>
      </c>
      <c r="V294">
        <v>445424</v>
      </c>
      <c r="X294" t="s">
        <v>1263</v>
      </c>
      <c r="Y294" t="s">
        <v>2228</v>
      </c>
      <c r="Z294" t="s">
        <v>2229</v>
      </c>
      <c r="AA294" s="5">
        <v>46267.840277777781</v>
      </c>
      <c r="AB294" t="s">
        <v>1266</v>
      </c>
      <c r="AD294" t="s">
        <v>1268</v>
      </c>
      <c r="AE294" t="s">
        <v>1269</v>
      </c>
      <c r="AF294" t="s">
        <v>1270</v>
      </c>
    </row>
    <row r="295" spans="1:32" x14ac:dyDescent="0.25">
      <c r="A295">
        <v>756756</v>
      </c>
      <c r="B295">
        <v>149584</v>
      </c>
      <c r="C295" t="s">
        <v>2230</v>
      </c>
      <c r="D295" t="s">
        <v>1569</v>
      </c>
      <c r="F295" t="s">
        <v>1259</v>
      </c>
      <c r="G295">
        <v>6000</v>
      </c>
      <c r="H295">
        <v>0</v>
      </c>
      <c r="I295">
        <v>57</v>
      </c>
      <c r="J295">
        <v>0</v>
      </c>
      <c r="K295">
        <v>0</v>
      </c>
      <c r="L295">
        <v>0</v>
      </c>
      <c r="M295">
        <v>3789</v>
      </c>
      <c r="N295" s="4">
        <v>46267</v>
      </c>
      <c r="O295" t="s">
        <v>2231</v>
      </c>
      <c r="P295" t="s">
        <v>171</v>
      </c>
      <c r="S295" t="s">
        <v>2232</v>
      </c>
      <c r="T295" t="s">
        <v>1261</v>
      </c>
      <c r="U295" t="s">
        <v>1262</v>
      </c>
      <c r="V295">
        <v>793174</v>
      </c>
      <c r="W295" t="s">
        <v>2232</v>
      </c>
      <c r="X295" t="s">
        <v>1263</v>
      </c>
      <c r="Y295" t="s">
        <v>2233</v>
      </c>
      <c r="Z295" s="6" t="s">
        <v>176</v>
      </c>
      <c r="AA295" s="5">
        <v>46267.844444444447</v>
      </c>
      <c r="AB295" t="s">
        <v>1266</v>
      </c>
      <c r="AC295" t="s">
        <v>1293</v>
      </c>
      <c r="AD295" t="s">
        <v>1268</v>
      </c>
      <c r="AE295" t="s">
        <v>1269</v>
      </c>
      <c r="AF295" t="s">
        <v>1270</v>
      </c>
    </row>
    <row r="296" spans="1:32" x14ac:dyDescent="0.25">
      <c r="B296">
        <v>77480</v>
      </c>
      <c r="C296" t="s">
        <v>1279</v>
      </c>
      <c r="D296" t="s">
        <v>1272</v>
      </c>
      <c r="E296" t="s">
        <v>1258</v>
      </c>
      <c r="F296" t="s">
        <v>1259</v>
      </c>
      <c r="G296">
        <v>6300</v>
      </c>
      <c r="H296">
        <v>0</v>
      </c>
      <c r="I296">
        <v>15</v>
      </c>
      <c r="J296">
        <v>0</v>
      </c>
      <c r="K296">
        <v>1</v>
      </c>
      <c r="L296">
        <v>0</v>
      </c>
      <c r="M296">
        <v>33.299999999999997</v>
      </c>
      <c r="N296" s="4">
        <v>46267</v>
      </c>
      <c r="O296" t="s">
        <v>2234</v>
      </c>
      <c r="P296" t="s">
        <v>168</v>
      </c>
      <c r="T296" t="s">
        <v>1261</v>
      </c>
      <c r="U296" t="s">
        <v>1262</v>
      </c>
      <c r="V296">
        <v>821697</v>
      </c>
      <c r="X296" t="s">
        <v>1263</v>
      </c>
      <c r="Y296" t="s">
        <v>2235</v>
      </c>
      <c r="Z296" t="s">
        <v>1275</v>
      </c>
      <c r="AA296" s="5">
        <v>46267.847222222219</v>
      </c>
      <c r="AB296" t="s">
        <v>1266</v>
      </c>
      <c r="AD296" t="s">
        <v>1268</v>
      </c>
      <c r="AE296" t="s">
        <v>1269</v>
      </c>
      <c r="AF296" t="s">
        <v>1270</v>
      </c>
    </row>
    <row r="297" spans="1:32" x14ac:dyDescent="0.25">
      <c r="A297">
        <v>756756</v>
      </c>
      <c r="B297">
        <v>1667632</v>
      </c>
      <c r="C297" t="s">
        <v>2236</v>
      </c>
      <c r="D297" t="s">
        <v>1320</v>
      </c>
      <c r="F297" t="s">
        <v>1259</v>
      </c>
      <c r="G297">
        <v>50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5647.25</v>
      </c>
      <c r="N297" s="4">
        <v>46267</v>
      </c>
      <c r="O297" t="s">
        <v>2237</v>
      </c>
      <c r="P297" t="s">
        <v>164</v>
      </c>
      <c r="T297" t="s">
        <v>1261</v>
      </c>
      <c r="U297" t="s">
        <v>1262</v>
      </c>
      <c r="V297">
        <v>6096903</v>
      </c>
      <c r="X297" t="s">
        <v>1263</v>
      </c>
      <c r="Y297" t="s">
        <v>2238</v>
      </c>
      <c r="Z297" t="s">
        <v>2238</v>
      </c>
      <c r="AA297" s="5">
        <v>46267.859027777777</v>
      </c>
      <c r="AB297" t="s">
        <v>1266</v>
      </c>
      <c r="AC297" t="s">
        <v>1293</v>
      </c>
      <c r="AD297" t="s">
        <v>1268</v>
      </c>
      <c r="AE297" t="s">
        <v>1269</v>
      </c>
      <c r="AF297" t="s">
        <v>1270</v>
      </c>
    </row>
    <row r="298" spans="1:32" x14ac:dyDescent="0.25">
      <c r="B298">
        <v>194102</v>
      </c>
      <c r="C298" t="s">
        <v>2239</v>
      </c>
      <c r="D298" t="s">
        <v>1257</v>
      </c>
      <c r="E298" t="s">
        <v>1258</v>
      </c>
      <c r="F298" t="s">
        <v>1259</v>
      </c>
      <c r="G298">
        <v>4810</v>
      </c>
      <c r="H298">
        <v>0</v>
      </c>
      <c r="I298">
        <v>49</v>
      </c>
      <c r="J298">
        <v>0</v>
      </c>
      <c r="K298">
        <v>0</v>
      </c>
      <c r="L298">
        <v>0</v>
      </c>
      <c r="M298">
        <v>4357.24</v>
      </c>
      <c r="N298" s="4">
        <v>46267</v>
      </c>
      <c r="O298" t="s">
        <v>2240</v>
      </c>
      <c r="P298" t="s">
        <v>158</v>
      </c>
      <c r="S298" t="s">
        <v>2241</v>
      </c>
      <c r="T298" t="s">
        <v>1261</v>
      </c>
      <c r="U298" t="s">
        <v>1262</v>
      </c>
      <c r="V298">
        <v>4298298</v>
      </c>
      <c r="W298" t="s">
        <v>2241</v>
      </c>
      <c r="X298" t="s">
        <v>1263</v>
      </c>
      <c r="Y298" t="s">
        <v>2242</v>
      </c>
      <c r="Z298" t="s">
        <v>2243</v>
      </c>
      <c r="AA298" s="5">
        <v>46267.862500000003</v>
      </c>
      <c r="AB298" t="s">
        <v>1266</v>
      </c>
      <c r="AC298" t="s">
        <v>1267</v>
      </c>
      <c r="AD298" t="s">
        <v>1268</v>
      </c>
      <c r="AE298" t="s">
        <v>1269</v>
      </c>
      <c r="AF298" t="s">
        <v>1270</v>
      </c>
    </row>
    <row r="299" spans="1:32" x14ac:dyDescent="0.25">
      <c r="B299">
        <v>12181</v>
      </c>
      <c r="C299" t="s">
        <v>2244</v>
      </c>
      <c r="D299" t="s">
        <v>1257</v>
      </c>
      <c r="E299" t="s">
        <v>1258</v>
      </c>
      <c r="F299" t="s">
        <v>1259</v>
      </c>
      <c r="G299">
        <v>10200</v>
      </c>
      <c r="H299">
        <v>0</v>
      </c>
      <c r="I299">
        <v>72</v>
      </c>
      <c r="J299">
        <v>0</v>
      </c>
      <c r="K299">
        <v>1</v>
      </c>
      <c r="L299">
        <v>0</v>
      </c>
      <c r="M299">
        <v>124261.5</v>
      </c>
      <c r="N299" s="4">
        <v>46267</v>
      </c>
      <c r="O299" t="s">
        <v>2245</v>
      </c>
      <c r="P299" t="s">
        <v>149</v>
      </c>
      <c r="S299" t="s">
        <v>2246</v>
      </c>
      <c r="T299" t="s">
        <v>1261</v>
      </c>
      <c r="U299" t="s">
        <v>1262</v>
      </c>
      <c r="V299">
        <v>444174</v>
      </c>
      <c r="W299" t="s">
        <v>2246</v>
      </c>
      <c r="X299" t="s">
        <v>1263</v>
      </c>
      <c r="Y299" t="s">
        <v>2247</v>
      </c>
      <c r="Z299" t="s">
        <v>2248</v>
      </c>
      <c r="AA299" s="5">
        <v>46267.875</v>
      </c>
      <c r="AB299" t="s">
        <v>1266</v>
      </c>
      <c r="AC299" t="s">
        <v>1267</v>
      </c>
      <c r="AD299" t="s">
        <v>1268</v>
      </c>
      <c r="AE299" t="s">
        <v>1269</v>
      </c>
      <c r="AF299" t="s">
        <v>1270</v>
      </c>
    </row>
    <row r="300" spans="1:32" x14ac:dyDescent="0.25">
      <c r="B300">
        <v>12181</v>
      </c>
      <c r="C300" t="s">
        <v>2244</v>
      </c>
      <c r="D300" t="s">
        <v>1257</v>
      </c>
      <c r="E300" t="s">
        <v>1258</v>
      </c>
      <c r="F300" t="s">
        <v>1259</v>
      </c>
      <c r="G300">
        <v>27800</v>
      </c>
      <c r="H300">
        <v>0</v>
      </c>
      <c r="I300">
        <v>92</v>
      </c>
      <c r="J300">
        <v>0</v>
      </c>
      <c r="K300">
        <v>1</v>
      </c>
      <c r="L300">
        <v>0</v>
      </c>
      <c r="M300">
        <v>96368.5</v>
      </c>
      <c r="N300" s="4">
        <v>46267</v>
      </c>
      <c r="O300" t="s">
        <v>2249</v>
      </c>
      <c r="P300" t="s">
        <v>145</v>
      </c>
      <c r="S300" t="s">
        <v>2246</v>
      </c>
      <c r="T300" t="s">
        <v>1261</v>
      </c>
      <c r="U300" t="s">
        <v>1262</v>
      </c>
      <c r="V300">
        <v>444174</v>
      </c>
      <c r="W300" t="s">
        <v>2246</v>
      </c>
      <c r="X300" t="s">
        <v>1263</v>
      </c>
      <c r="Y300" t="s">
        <v>2250</v>
      </c>
      <c r="Z300" t="s">
        <v>2251</v>
      </c>
      <c r="AA300" s="5">
        <v>46267.875</v>
      </c>
      <c r="AB300" t="s">
        <v>1266</v>
      </c>
      <c r="AC300" t="s">
        <v>1267</v>
      </c>
      <c r="AD300" t="s">
        <v>1268</v>
      </c>
      <c r="AE300" t="s">
        <v>1269</v>
      </c>
      <c r="AF300" t="s">
        <v>1270</v>
      </c>
    </row>
    <row r="301" spans="1:32" x14ac:dyDescent="0.25">
      <c r="B301">
        <v>12181</v>
      </c>
      <c r="C301" t="s">
        <v>2244</v>
      </c>
      <c r="D301" t="s">
        <v>1257</v>
      </c>
      <c r="E301" t="s">
        <v>1258</v>
      </c>
      <c r="F301" t="s">
        <v>1259</v>
      </c>
      <c r="G301">
        <v>1700</v>
      </c>
      <c r="H301">
        <v>0</v>
      </c>
      <c r="I301">
        <v>35</v>
      </c>
      <c r="J301">
        <v>0</v>
      </c>
      <c r="K301">
        <v>1</v>
      </c>
      <c r="L301">
        <v>0</v>
      </c>
      <c r="M301">
        <v>94632.5</v>
      </c>
      <c r="N301" s="4">
        <v>46267</v>
      </c>
      <c r="O301" t="s">
        <v>2252</v>
      </c>
      <c r="P301" t="s">
        <v>140</v>
      </c>
      <c r="S301" t="s">
        <v>2246</v>
      </c>
      <c r="T301" t="s">
        <v>1261</v>
      </c>
      <c r="U301" t="s">
        <v>1262</v>
      </c>
      <c r="V301">
        <v>444174</v>
      </c>
      <c r="W301" t="s">
        <v>2246</v>
      </c>
      <c r="X301" t="s">
        <v>1263</v>
      </c>
      <c r="Y301" t="s">
        <v>2253</v>
      </c>
      <c r="Z301" t="s">
        <v>2254</v>
      </c>
      <c r="AA301" s="5">
        <v>46267.875</v>
      </c>
      <c r="AB301" t="s">
        <v>1266</v>
      </c>
      <c r="AC301" t="s">
        <v>1267</v>
      </c>
      <c r="AD301" t="s">
        <v>1268</v>
      </c>
      <c r="AE301" t="s">
        <v>1269</v>
      </c>
      <c r="AF301" t="s">
        <v>1270</v>
      </c>
    </row>
    <row r="302" spans="1:32" x14ac:dyDescent="0.25">
      <c r="B302">
        <v>77484</v>
      </c>
      <c r="C302" t="s">
        <v>2255</v>
      </c>
      <c r="D302" t="s">
        <v>1272</v>
      </c>
      <c r="E302" t="s">
        <v>1258</v>
      </c>
      <c r="F302" t="s">
        <v>1259</v>
      </c>
      <c r="G302">
        <v>3350</v>
      </c>
      <c r="H302">
        <v>0</v>
      </c>
      <c r="I302">
        <v>10</v>
      </c>
      <c r="J302">
        <v>0</v>
      </c>
      <c r="K302">
        <v>1</v>
      </c>
      <c r="L302">
        <v>0</v>
      </c>
      <c r="M302">
        <v>28.425999999999998</v>
      </c>
      <c r="N302" s="4">
        <v>46267</v>
      </c>
      <c r="O302" t="s">
        <v>2256</v>
      </c>
      <c r="P302" t="s">
        <v>137</v>
      </c>
      <c r="T302" t="s">
        <v>1261</v>
      </c>
      <c r="U302" t="s">
        <v>1262</v>
      </c>
      <c r="V302">
        <v>9246253</v>
      </c>
      <c r="X302" t="s">
        <v>1263</v>
      </c>
      <c r="Y302" t="s">
        <v>2257</v>
      </c>
      <c r="Z302" t="s">
        <v>1275</v>
      </c>
      <c r="AA302" s="5">
        <v>46267.87777777778</v>
      </c>
      <c r="AB302" t="s">
        <v>1266</v>
      </c>
      <c r="AD302" t="s">
        <v>1268</v>
      </c>
      <c r="AE302" t="s">
        <v>1269</v>
      </c>
      <c r="AF302" t="s">
        <v>1270</v>
      </c>
    </row>
    <row r="303" spans="1:32" x14ac:dyDescent="0.25">
      <c r="B303">
        <v>77476</v>
      </c>
      <c r="C303" t="s">
        <v>2258</v>
      </c>
      <c r="D303" t="s">
        <v>1272</v>
      </c>
      <c r="E303" t="s">
        <v>1258</v>
      </c>
      <c r="F303" t="s">
        <v>1259</v>
      </c>
      <c r="G303">
        <v>5400</v>
      </c>
      <c r="H303">
        <v>0</v>
      </c>
      <c r="I303">
        <v>15</v>
      </c>
      <c r="J303">
        <v>0</v>
      </c>
      <c r="K303">
        <v>1</v>
      </c>
      <c r="L303">
        <v>0</v>
      </c>
      <c r="M303">
        <v>14.8</v>
      </c>
      <c r="N303" s="4">
        <v>46267</v>
      </c>
      <c r="O303" t="s">
        <v>2259</v>
      </c>
      <c r="P303" t="s">
        <v>134</v>
      </c>
      <c r="T303" t="s">
        <v>1261</v>
      </c>
      <c r="U303" t="s">
        <v>1262</v>
      </c>
      <c r="V303">
        <v>9246253</v>
      </c>
      <c r="X303" t="s">
        <v>1263</v>
      </c>
      <c r="Y303" t="s">
        <v>2260</v>
      </c>
      <c r="Z303" t="s">
        <v>1275</v>
      </c>
      <c r="AA303" s="5">
        <v>46267.878472222219</v>
      </c>
      <c r="AB303" t="s">
        <v>1266</v>
      </c>
      <c r="AD303" t="s">
        <v>1268</v>
      </c>
      <c r="AE303" t="s">
        <v>1269</v>
      </c>
      <c r="AF303" t="s">
        <v>1270</v>
      </c>
    </row>
    <row r="304" spans="1:32" x14ac:dyDescent="0.25">
      <c r="B304">
        <v>77477</v>
      </c>
      <c r="C304" t="s">
        <v>2261</v>
      </c>
      <c r="D304" t="s">
        <v>1272</v>
      </c>
      <c r="E304" t="s">
        <v>1258</v>
      </c>
      <c r="F304" t="s">
        <v>1259</v>
      </c>
      <c r="G304">
        <v>7900</v>
      </c>
      <c r="H304">
        <v>0</v>
      </c>
      <c r="I304">
        <v>15</v>
      </c>
      <c r="J304">
        <v>0</v>
      </c>
      <c r="K304">
        <v>1</v>
      </c>
      <c r="L304">
        <v>0</v>
      </c>
      <c r="M304">
        <v>12.074</v>
      </c>
      <c r="N304" s="4">
        <v>46267</v>
      </c>
      <c r="O304" t="s">
        <v>2262</v>
      </c>
      <c r="P304" t="s">
        <v>131</v>
      </c>
      <c r="T304" t="s">
        <v>1261</v>
      </c>
      <c r="U304" t="s">
        <v>1262</v>
      </c>
      <c r="V304">
        <v>9246253</v>
      </c>
      <c r="X304" t="s">
        <v>1263</v>
      </c>
      <c r="Y304" t="s">
        <v>2263</v>
      </c>
      <c r="Z304" t="s">
        <v>1275</v>
      </c>
      <c r="AA304" s="5">
        <v>46267.879166666666</v>
      </c>
      <c r="AB304" t="s">
        <v>1266</v>
      </c>
      <c r="AD304" t="s">
        <v>1268</v>
      </c>
      <c r="AE304" t="s">
        <v>1269</v>
      </c>
      <c r="AF304" t="s">
        <v>1270</v>
      </c>
    </row>
    <row r="305" spans="1:32" x14ac:dyDescent="0.25">
      <c r="B305">
        <v>15111</v>
      </c>
      <c r="C305" t="s">
        <v>1315</v>
      </c>
      <c r="D305" t="s">
        <v>1272</v>
      </c>
      <c r="E305" t="s">
        <v>1258</v>
      </c>
      <c r="F305" t="s">
        <v>1259</v>
      </c>
      <c r="G305">
        <v>12000</v>
      </c>
      <c r="H305">
        <v>0</v>
      </c>
      <c r="I305">
        <v>15</v>
      </c>
      <c r="J305">
        <v>0</v>
      </c>
      <c r="K305">
        <v>1</v>
      </c>
      <c r="L305">
        <v>0</v>
      </c>
      <c r="M305">
        <v>8798.9979999999996</v>
      </c>
      <c r="N305" s="4">
        <v>46267</v>
      </c>
      <c r="O305" t="s">
        <v>2264</v>
      </c>
      <c r="P305" t="s">
        <v>127</v>
      </c>
      <c r="T305" t="s">
        <v>1261</v>
      </c>
      <c r="U305" t="s">
        <v>1262</v>
      </c>
      <c r="V305">
        <v>9926197</v>
      </c>
      <c r="X305" t="s">
        <v>1263</v>
      </c>
      <c r="Y305" t="s">
        <v>2265</v>
      </c>
      <c r="Z305" t="s">
        <v>1318</v>
      </c>
      <c r="AA305" s="5">
        <v>46267.879861111112</v>
      </c>
      <c r="AB305" t="s">
        <v>1266</v>
      </c>
      <c r="AD305" t="s">
        <v>1268</v>
      </c>
      <c r="AE305" t="s">
        <v>1269</v>
      </c>
      <c r="AF305" t="s">
        <v>1270</v>
      </c>
    </row>
    <row r="306" spans="1:32" x14ac:dyDescent="0.25">
      <c r="B306">
        <v>80417</v>
      </c>
      <c r="C306" t="s">
        <v>1535</v>
      </c>
      <c r="D306" t="s">
        <v>1272</v>
      </c>
      <c r="E306" t="s">
        <v>1258</v>
      </c>
      <c r="F306" t="s">
        <v>1259</v>
      </c>
      <c r="G306">
        <v>5150</v>
      </c>
      <c r="H306">
        <v>0</v>
      </c>
      <c r="I306">
        <v>15</v>
      </c>
      <c r="J306">
        <v>0</v>
      </c>
      <c r="K306">
        <v>1</v>
      </c>
      <c r="L306">
        <v>0</v>
      </c>
      <c r="M306">
        <v>23.454000000000001</v>
      </c>
      <c r="N306" s="4">
        <v>46267</v>
      </c>
      <c r="O306" t="s">
        <v>2266</v>
      </c>
      <c r="P306" t="s">
        <v>124</v>
      </c>
      <c r="T306" t="s">
        <v>1261</v>
      </c>
      <c r="U306" t="s">
        <v>1262</v>
      </c>
      <c r="V306">
        <v>9246253</v>
      </c>
      <c r="X306" t="s">
        <v>1263</v>
      </c>
      <c r="Y306" t="s">
        <v>2267</v>
      </c>
      <c r="Z306" t="s">
        <v>1275</v>
      </c>
      <c r="AA306" s="5">
        <v>46267.880555555559</v>
      </c>
      <c r="AB306" t="s">
        <v>1266</v>
      </c>
      <c r="AD306" t="s">
        <v>1268</v>
      </c>
      <c r="AE306" t="s">
        <v>1269</v>
      </c>
      <c r="AF306" t="s">
        <v>1270</v>
      </c>
    </row>
    <row r="307" spans="1:32" x14ac:dyDescent="0.25">
      <c r="B307">
        <v>77486</v>
      </c>
      <c r="C307" t="s">
        <v>2268</v>
      </c>
      <c r="D307" t="s">
        <v>1272</v>
      </c>
      <c r="E307" t="s">
        <v>1258</v>
      </c>
      <c r="F307" t="s">
        <v>1259</v>
      </c>
      <c r="G307">
        <v>6300</v>
      </c>
      <c r="H307">
        <v>0</v>
      </c>
      <c r="I307">
        <v>15</v>
      </c>
      <c r="J307">
        <v>0</v>
      </c>
      <c r="K307">
        <v>1</v>
      </c>
      <c r="L307">
        <v>0</v>
      </c>
      <c r="M307">
        <v>20.276</v>
      </c>
      <c r="N307" s="4">
        <v>46267</v>
      </c>
      <c r="O307" t="s">
        <v>2269</v>
      </c>
      <c r="P307" t="s">
        <v>120</v>
      </c>
      <c r="T307" t="s">
        <v>1261</v>
      </c>
      <c r="U307" t="s">
        <v>1262</v>
      </c>
      <c r="V307">
        <v>821697</v>
      </c>
      <c r="X307" t="s">
        <v>1263</v>
      </c>
      <c r="Y307" t="s">
        <v>2270</v>
      </c>
      <c r="Z307" t="s">
        <v>1275</v>
      </c>
      <c r="AA307" s="5">
        <v>46267.881249999999</v>
      </c>
      <c r="AB307" t="s">
        <v>1266</v>
      </c>
      <c r="AD307" t="s">
        <v>1268</v>
      </c>
      <c r="AE307" t="s">
        <v>1269</v>
      </c>
      <c r="AF307" t="s">
        <v>1270</v>
      </c>
    </row>
    <row r="308" spans="1:32" x14ac:dyDescent="0.25">
      <c r="B308">
        <v>15116</v>
      </c>
      <c r="C308" t="s">
        <v>2271</v>
      </c>
      <c r="D308" t="s">
        <v>1272</v>
      </c>
      <c r="E308" t="s">
        <v>1258</v>
      </c>
      <c r="F308" t="s">
        <v>1259</v>
      </c>
      <c r="G308">
        <v>11000</v>
      </c>
      <c r="H308">
        <v>0</v>
      </c>
      <c r="I308">
        <v>15</v>
      </c>
      <c r="J308">
        <v>0</v>
      </c>
      <c r="K308">
        <v>1</v>
      </c>
      <c r="L308">
        <v>0</v>
      </c>
      <c r="M308">
        <v>168788.538</v>
      </c>
      <c r="N308" s="4">
        <v>46267</v>
      </c>
      <c r="O308" t="s">
        <v>2272</v>
      </c>
      <c r="P308" t="s">
        <v>116</v>
      </c>
      <c r="T308" t="s">
        <v>1261</v>
      </c>
      <c r="U308" t="s">
        <v>1262</v>
      </c>
      <c r="V308">
        <v>968512</v>
      </c>
      <c r="X308" t="s">
        <v>1263</v>
      </c>
      <c r="Y308" t="s">
        <v>2273</v>
      </c>
      <c r="Z308" t="s">
        <v>1309</v>
      </c>
      <c r="AA308" s="5">
        <v>46267.881944444445</v>
      </c>
      <c r="AB308" t="s">
        <v>1266</v>
      </c>
      <c r="AD308" t="s">
        <v>1268</v>
      </c>
      <c r="AE308" t="s">
        <v>1269</v>
      </c>
      <c r="AF308" t="s">
        <v>1270</v>
      </c>
    </row>
    <row r="309" spans="1:32" x14ac:dyDescent="0.25">
      <c r="A309">
        <v>756756</v>
      </c>
      <c r="B309">
        <v>254725682509</v>
      </c>
      <c r="C309" t="s">
        <v>2274</v>
      </c>
      <c r="D309" t="s">
        <v>1286</v>
      </c>
      <c r="F309" t="s">
        <v>1259</v>
      </c>
      <c r="G309">
        <v>300</v>
      </c>
      <c r="H309">
        <v>0</v>
      </c>
      <c r="I309">
        <v>10</v>
      </c>
      <c r="J309">
        <v>0</v>
      </c>
      <c r="K309">
        <v>0</v>
      </c>
      <c r="L309">
        <v>0</v>
      </c>
      <c r="M309">
        <v>2756</v>
      </c>
      <c r="N309" s="4">
        <v>46267</v>
      </c>
      <c r="O309" t="s">
        <v>2275</v>
      </c>
      <c r="P309" t="s">
        <v>112</v>
      </c>
      <c r="T309" t="s">
        <v>1261</v>
      </c>
      <c r="U309" t="s">
        <v>1262</v>
      </c>
      <c r="V309">
        <v>8234036</v>
      </c>
      <c r="X309" t="s">
        <v>1263</v>
      </c>
      <c r="Y309" t="s">
        <v>2276</v>
      </c>
      <c r="Z309" t="s">
        <v>2276</v>
      </c>
      <c r="AA309" s="5">
        <v>46267.881944444445</v>
      </c>
      <c r="AB309" t="s">
        <v>1266</v>
      </c>
      <c r="AC309" t="s">
        <v>1293</v>
      </c>
      <c r="AD309" t="s">
        <v>1268</v>
      </c>
      <c r="AE309" t="s">
        <v>1269</v>
      </c>
      <c r="AF309" t="s">
        <v>1270</v>
      </c>
    </row>
    <row r="310" spans="1:32" x14ac:dyDescent="0.25">
      <c r="B310">
        <v>15108</v>
      </c>
      <c r="C310" t="s">
        <v>2277</v>
      </c>
      <c r="D310" t="s">
        <v>1272</v>
      </c>
      <c r="E310" t="s">
        <v>1258</v>
      </c>
      <c r="F310" t="s">
        <v>1259</v>
      </c>
      <c r="G310">
        <v>14400</v>
      </c>
      <c r="H310">
        <v>0</v>
      </c>
      <c r="I310">
        <v>15</v>
      </c>
      <c r="J310">
        <v>0</v>
      </c>
      <c r="K310">
        <v>1</v>
      </c>
      <c r="L310">
        <v>0</v>
      </c>
      <c r="M310">
        <v>169206.014</v>
      </c>
      <c r="N310" s="4">
        <v>46267</v>
      </c>
      <c r="O310" t="s">
        <v>2278</v>
      </c>
      <c r="P310" t="s">
        <v>109</v>
      </c>
      <c r="T310" t="s">
        <v>1261</v>
      </c>
      <c r="U310" t="s">
        <v>1262</v>
      </c>
      <c r="V310">
        <v>968512</v>
      </c>
      <c r="X310" t="s">
        <v>1263</v>
      </c>
      <c r="Y310" t="s">
        <v>2279</v>
      </c>
      <c r="Z310" t="s">
        <v>2280</v>
      </c>
      <c r="AA310" s="5">
        <v>46267.883333333331</v>
      </c>
      <c r="AB310" t="s">
        <v>1266</v>
      </c>
      <c r="AD310" t="s">
        <v>1268</v>
      </c>
      <c r="AE310" t="s">
        <v>1269</v>
      </c>
      <c r="AF310" t="s">
        <v>1270</v>
      </c>
    </row>
    <row r="311" spans="1:32" x14ac:dyDescent="0.25">
      <c r="B311">
        <v>15115</v>
      </c>
      <c r="C311" t="s">
        <v>2281</v>
      </c>
      <c r="D311" t="s">
        <v>1272</v>
      </c>
      <c r="E311" t="s">
        <v>1258</v>
      </c>
      <c r="F311" t="s">
        <v>1259</v>
      </c>
      <c r="G311">
        <v>12415</v>
      </c>
      <c r="H311">
        <v>0</v>
      </c>
      <c r="I311">
        <v>15</v>
      </c>
      <c r="J311">
        <v>0</v>
      </c>
      <c r="K311">
        <v>1</v>
      </c>
      <c r="L311">
        <v>0</v>
      </c>
      <c r="M311">
        <v>11231.103999999999</v>
      </c>
      <c r="N311" s="4">
        <v>46267</v>
      </c>
      <c r="O311" t="s">
        <v>2282</v>
      </c>
      <c r="P311" t="s">
        <v>105</v>
      </c>
      <c r="T311" t="s">
        <v>1261</v>
      </c>
      <c r="U311" t="s">
        <v>1262</v>
      </c>
      <c r="V311">
        <v>968512</v>
      </c>
      <c r="X311" t="s">
        <v>1263</v>
      </c>
      <c r="Y311" t="s">
        <v>2283</v>
      </c>
      <c r="Z311" t="s">
        <v>1309</v>
      </c>
      <c r="AA311" s="5">
        <v>46267.884027777778</v>
      </c>
      <c r="AB311" t="s">
        <v>1266</v>
      </c>
      <c r="AD311" t="s">
        <v>1268</v>
      </c>
      <c r="AE311" t="s">
        <v>1269</v>
      </c>
      <c r="AF311" t="s">
        <v>1270</v>
      </c>
    </row>
    <row r="312" spans="1:32" x14ac:dyDescent="0.25">
      <c r="B312">
        <v>77487</v>
      </c>
      <c r="C312" t="s">
        <v>1282</v>
      </c>
      <c r="D312" t="s">
        <v>1272</v>
      </c>
      <c r="E312" t="s">
        <v>1258</v>
      </c>
      <c r="F312" t="s">
        <v>1259</v>
      </c>
      <c r="G312">
        <v>5750</v>
      </c>
      <c r="H312">
        <v>0</v>
      </c>
      <c r="I312">
        <v>15</v>
      </c>
      <c r="J312">
        <v>0</v>
      </c>
      <c r="K312">
        <v>1</v>
      </c>
      <c r="L312">
        <v>0</v>
      </c>
      <c r="M312">
        <v>17.274000000000001</v>
      </c>
      <c r="N312" s="4">
        <v>46267</v>
      </c>
      <c r="O312" t="s">
        <v>2284</v>
      </c>
      <c r="P312" t="s">
        <v>101</v>
      </c>
      <c r="T312" t="s">
        <v>1261</v>
      </c>
      <c r="U312" t="s">
        <v>1262</v>
      </c>
      <c r="V312">
        <v>821697</v>
      </c>
      <c r="X312" t="s">
        <v>1263</v>
      </c>
      <c r="Y312" t="s">
        <v>2285</v>
      </c>
      <c r="Z312" t="s">
        <v>1275</v>
      </c>
      <c r="AA312" s="5">
        <v>46267.884027777778</v>
      </c>
      <c r="AB312" t="s">
        <v>1266</v>
      </c>
      <c r="AD312" t="s">
        <v>1268</v>
      </c>
      <c r="AE312" t="s">
        <v>1269</v>
      </c>
      <c r="AF312" t="s">
        <v>1270</v>
      </c>
    </row>
    <row r="313" spans="1:32" x14ac:dyDescent="0.25">
      <c r="B313">
        <v>77475</v>
      </c>
      <c r="C313" t="s">
        <v>2286</v>
      </c>
      <c r="D313" t="s">
        <v>1272</v>
      </c>
      <c r="E313" t="s">
        <v>1258</v>
      </c>
      <c r="F313" t="s">
        <v>1259</v>
      </c>
      <c r="G313">
        <v>3700</v>
      </c>
      <c r="H313">
        <v>0</v>
      </c>
      <c r="I313">
        <v>15</v>
      </c>
      <c r="J313">
        <v>0</v>
      </c>
      <c r="K313">
        <v>1</v>
      </c>
      <c r="L313">
        <v>0</v>
      </c>
      <c r="M313">
        <v>36.61</v>
      </c>
      <c r="N313" s="4">
        <v>46267</v>
      </c>
      <c r="O313" t="s">
        <v>2287</v>
      </c>
      <c r="P313" t="s">
        <v>97</v>
      </c>
      <c r="T313" t="s">
        <v>1261</v>
      </c>
      <c r="U313" t="s">
        <v>1262</v>
      </c>
      <c r="V313">
        <v>4998256</v>
      </c>
      <c r="X313" t="s">
        <v>1263</v>
      </c>
      <c r="Y313" t="s">
        <v>2288</v>
      </c>
      <c r="Z313" t="s">
        <v>1275</v>
      </c>
      <c r="AA313" s="5">
        <v>46267.88958333333</v>
      </c>
      <c r="AB313" t="s">
        <v>1266</v>
      </c>
      <c r="AD313" t="s">
        <v>1268</v>
      </c>
      <c r="AE313" t="s">
        <v>1269</v>
      </c>
      <c r="AF313" t="s">
        <v>1270</v>
      </c>
    </row>
    <row r="314" spans="1:32" x14ac:dyDescent="0.25">
      <c r="B314">
        <v>318827</v>
      </c>
      <c r="C314" t="s">
        <v>2176</v>
      </c>
      <c r="D314" t="s">
        <v>1257</v>
      </c>
      <c r="E314" t="s">
        <v>1258</v>
      </c>
      <c r="F314" t="s">
        <v>1259</v>
      </c>
      <c r="G314">
        <v>8650</v>
      </c>
      <c r="H314">
        <v>0</v>
      </c>
      <c r="I314">
        <v>63</v>
      </c>
      <c r="J314">
        <v>0</v>
      </c>
      <c r="K314">
        <v>1</v>
      </c>
      <c r="L314">
        <v>0</v>
      </c>
      <c r="M314">
        <v>7076.9359999999997</v>
      </c>
      <c r="N314" s="4">
        <v>46267</v>
      </c>
      <c r="O314" t="s">
        <v>2289</v>
      </c>
      <c r="P314" t="s">
        <v>91</v>
      </c>
      <c r="S314" t="s">
        <v>1407</v>
      </c>
      <c r="T314" t="s">
        <v>1261</v>
      </c>
      <c r="U314" t="s">
        <v>1262</v>
      </c>
      <c r="V314">
        <v>400222</v>
      </c>
      <c r="W314" t="s">
        <v>1407</v>
      </c>
      <c r="X314" t="s">
        <v>1263</v>
      </c>
      <c r="Y314" t="s">
        <v>2290</v>
      </c>
      <c r="Z314" t="s">
        <v>2291</v>
      </c>
      <c r="AA314" s="5">
        <v>46267.893750000003</v>
      </c>
      <c r="AB314" t="s">
        <v>1266</v>
      </c>
      <c r="AC314" t="s">
        <v>1267</v>
      </c>
      <c r="AD314" t="s">
        <v>1268</v>
      </c>
      <c r="AE314" t="s">
        <v>1269</v>
      </c>
      <c r="AF314" t="s">
        <v>1270</v>
      </c>
    </row>
    <row r="315" spans="1:32" x14ac:dyDescent="0.25">
      <c r="A315">
        <v>455555</v>
      </c>
      <c r="B315">
        <v>390602</v>
      </c>
      <c r="C315" t="s">
        <v>2292</v>
      </c>
      <c r="D315" t="s">
        <v>1286</v>
      </c>
      <c r="F315" t="s">
        <v>1259</v>
      </c>
      <c r="G315">
        <v>3000</v>
      </c>
      <c r="H315">
        <v>0</v>
      </c>
      <c r="I315">
        <v>10</v>
      </c>
      <c r="J315">
        <v>0</v>
      </c>
      <c r="K315">
        <v>0</v>
      </c>
      <c r="L315">
        <v>0</v>
      </c>
      <c r="M315">
        <v>47078</v>
      </c>
      <c r="N315" s="4">
        <v>46267</v>
      </c>
      <c r="O315" t="s">
        <v>2293</v>
      </c>
      <c r="P315" t="s">
        <v>2294</v>
      </c>
      <c r="T315" t="s">
        <v>1261</v>
      </c>
      <c r="U315" t="s">
        <v>1262</v>
      </c>
      <c r="V315">
        <v>138586</v>
      </c>
      <c r="X315" t="s">
        <v>1263</v>
      </c>
      <c r="Y315" t="s">
        <v>2295</v>
      </c>
      <c r="Z315" t="s">
        <v>2295</v>
      </c>
      <c r="AA315" s="5">
        <v>46267.9</v>
      </c>
      <c r="AB315" t="s">
        <v>1266</v>
      </c>
      <c r="AC315" t="s">
        <v>1293</v>
      </c>
      <c r="AD315" t="s">
        <v>1268</v>
      </c>
      <c r="AE315" t="s">
        <v>1269</v>
      </c>
      <c r="AF315" t="s">
        <v>1270</v>
      </c>
    </row>
    <row r="316" spans="1:32" x14ac:dyDescent="0.25">
      <c r="B316">
        <v>80420</v>
      </c>
      <c r="C316" t="s">
        <v>2296</v>
      </c>
      <c r="D316" t="s">
        <v>1272</v>
      </c>
      <c r="E316" t="s">
        <v>1258</v>
      </c>
      <c r="F316" t="s">
        <v>1259</v>
      </c>
      <c r="G316">
        <v>6700</v>
      </c>
      <c r="H316">
        <v>0</v>
      </c>
      <c r="I316">
        <v>15</v>
      </c>
      <c r="J316">
        <v>0</v>
      </c>
      <c r="K316">
        <v>1</v>
      </c>
      <c r="L316">
        <v>0</v>
      </c>
      <c r="M316">
        <v>14.032</v>
      </c>
      <c r="N316" s="4">
        <v>46267</v>
      </c>
      <c r="O316" t="s">
        <v>2297</v>
      </c>
      <c r="P316" t="s">
        <v>88</v>
      </c>
      <c r="T316" t="s">
        <v>1261</v>
      </c>
      <c r="U316" t="s">
        <v>1262</v>
      </c>
      <c r="V316">
        <v>9246253</v>
      </c>
      <c r="X316" t="s">
        <v>1263</v>
      </c>
      <c r="Y316" t="s">
        <v>2298</v>
      </c>
      <c r="Z316" t="s">
        <v>1275</v>
      </c>
      <c r="AA316" s="5">
        <v>46267.902777777781</v>
      </c>
      <c r="AB316" t="s">
        <v>1266</v>
      </c>
      <c r="AD316" t="s">
        <v>1268</v>
      </c>
      <c r="AE316" t="s">
        <v>1269</v>
      </c>
      <c r="AF316" t="s">
        <v>1270</v>
      </c>
    </row>
    <row r="317" spans="1:32" x14ac:dyDescent="0.25">
      <c r="A317">
        <v>455555</v>
      </c>
      <c r="B317">
        <v>132186</v>
      </c>
      <c r="C317" t="s">
        <v>2299</v>
      </c>
      <c r="D317" t="s">
        <v>1286</v>
      </c>
      <c r="F317" t="s">
        <v>1259</v>
      </c>
      <c r="G317">
        <v>750</v>
      </c>
      <c r="H317">
        <v>0</v>
      </c>
      <c r="I317">
        <v>20</v>
      </c>
      <c r="J317">
        <v>0</v>
      </c>
      <c r="K317">
        <v>0</v>
      </c>
      <c r="L317">
        <v>0</v>
      </c>
      <c r="M317">
        <v>10523</v>
      </c>
      <c r="N317" s="4">
        <v>46267</v>
      </c>
      <c r="O317" t="s">
        <v>2300</v>
      </c>
      <c r="P317" t="s">
        <v>2301</v>
      </c>
      <c r="S317" t="s">
        <v>1407</v>
      </c>
      <c r="T317" t="s">
        <v>1261</v>
      </c>
      <c r="U317" t="s">
        <v>1262</v>
      </c>
      <c r="V317">
        <v>400200</v>
      </c>
      <c r="W317" t="s">
        <v>1407</v>
      </c>
      <c r="X317" t="s">
        <v>1263</v>
      </c>
      <c r="Y317" t="s">
        <v>2302</v>
      </c>
      <c r="Z317">
        <v>1186541</v>
      </c>
      <c r="AA317" s="5">
        <v>46267.90625</v>
      </c>
      <c r="AB317" t="s">
        <v>1266</v>
      </c>
      <c r="AC317" t="s">
        <v>1293</v>
      </c>
      <c r="AD317" t="s">
        <v>1268</v>
      </c>
      <c r="AE317" t="s">
        <v>1269</v>
      </c>
      <c r="AF317" t="s">
        <v>1270</v>
      </c>
    </row>
    <row r="318" spans="1:32" x14ac:dyDescent="0.25">
      <c r="B318">
        <v>1326697</v>
      </c>
      <c r="C318" t="s">
        <v>1358</v>
      </c>
      <c r="D318" t="s">
        <v>1286</v>
      </c>
      <c r="F318" t="s">
        <v>1259</v>
      </c>
      <c r="G318">
        <v>2000</v>
      </c>
      <c r="H318">
        <v>0</v>
      </c>
      <c r="I318">
        <v>35</v>
      </c>
      <c r="J318">
        <v>2</v>
      </c>
      <c r="K318">
        <v>0</v>
      </c>
      <c r="L318">
        <v>0</v>
      </c>
      <c r="M318">
        <v>11107</v>
      </c>
      <c r="N318" s="4">
        <v>46267</v>
      </c>
      <c r="O318" t="s">
        <v>2303</v>
      </c>
      <c r="P318" t="s">
        <v>83</v>
      </c>
      <c r="S318" t="s">
        <v>2304</v>
      </c>
      <c r="T318" t="s">
        <v>1261</v>
      </c>
      <c r="U318" t="s">
        <v>1262</v>
      </c>
      <c r="V318">
        <v>1326697</v>
      </c>
      <c r="W318" t="s">
        <v>2304</v>
      </c>
      <c r="X318" t="s">
        <v>1263</v>
      </c>
      <c r="Y318" t="s">
        <v>2305</v>
      </c>
      <c r="Z318" t="s">
        <v>2306</v>
      </c>
      <c r="AA318" s="5">
        <v>46267.90625</v>
      </c>
      <c r="AB318" t="s">
        <v>1266</v>
      </c>
      <c r="AD318" t="s">
        <v>1268</v>
      </c>
      <c r="AE318" t="s">
        <v>1269</v>
      </c>
      <c r="AF318" t="s">
        <v>1270</v>
      </c>
    </row>
    <row r="319" spans="1:32" x14ac:dyDescent="0.25">
      <c r="B319">
        <v>77483</v>
      </c>
      <c r="C319" t="s">
        <v>2307</v>
      </c>
      <c r="D319" t="s">
        <v>1272</v>
      </c>
      <c r="E319" t="s">
        <v>1258</v>
      </c>
      <c r="F319" t="s">
        <v>1259</v>
      </c>
      <c r="G319">
        <v>5550</v>
      </c>
      <c r="H319">
        <v>0</v>
      </c>
      <c r="I319">
        <v>15</v>
      </c>
      <c r="J319">
        <v>0</v>
      </c>
      <c r="K319">
        <v>1</v>
      </c>
      <c r="L319">
        <v>0</v>
      </c>
      <c r="M319">
        <v>4.1280000000000001</v>
      </c>
      <c r="N319" s="4">
        <v>46267</v>
      </c>
      <c r="O319" t="s">
        <v>2308</v>
      </c>
      <c r="P319" t="s">
        <v>79</v>
      </c>
      <c r="T319" t="s">
        <v>1261</v>
      </c>
      <c r="U319" t="s">
        <v>1262</v>
      </c>
      <c r="V319">
        <v>9246253</v>
      </c>
      <c r="X319" t="s">
        <v>1263</v>
      </c>
      <c r="Y319" t="s">
        <v>2309</v>
      </c>
      <c r="Z319" t="s">
        <v>1275</v>
      </c>
      <c r="AA319" s="5">
        <v>46267.907638888886</v>
      </c>
      <c r="AB319" t="s">
        <v>1266</v>
      </c>
      <c r="AD319" t="s">
        <v>1268</v>
      </c>
      <c r="AE319" t="s">
        <v>1269</v>
      </c>
      <c r="AF319" t="s">
        <v>1270</v>
      </c>
    </row>
    <row r="320" spans="1:32" x14ac:dyDescent="0.25">
      <c r="A320">
        <v>756756</v>
      </c>
      <c r="B320">
        <v>254708321784</v>
      </c>
      <c r="C320" t="s">
        <v>2310</v>
      </c>
      <c r="D320" t="s">
        <v>1386</v>
      </c>
      <c r="F320" t="s">
        <v>1259</v>
      </c>
      <c r="G320">
        <v>150</v>
      </c>
      <c r="H320">
        <v>0</v>
      </c>
      <c r="I320">
        <v>10</v>
      </c>
      <c r="J320">
        <v>0</v>
      </c>
      <c r="K320">
        <v>0</v>
      </c>
      <c r="L320">
        <v>0</v>
      </c>
      <c r="M320">
        <v>67520</v>
      </c>
      <c r="N320" s="4">
        <v>46267</v>
      </c>
      <c r="O320" t="s">
        <v>2311</v>
      </c>
      <c r="P320" t="s">
        <v>74</v>
      </c>
      <c r="S320" t="s">
        <v>1604</v>
      </c>
      <c r="T320" t="s">
        <v>1261</v>
      </c>
      <c r="U320" t="s">
        <v>1262</v>
      </c>
      <c r="V320">
        <v>880100</v>
      </c>
      <c r="W320" t="s">
        <v>1604</v>
      </c>
      <c r="X320" t="s">
        <v>1263</v>
      </c>
      <c r="Y320" t="s">
        <v>2312</v>
      </c>
      <c r="Z320">
        <v>999810</v>
      </c>
      <c r="AA320" s="5">
        <v>46267.915277777778</v>
      </c>
      <c r="AB320" t="s">
        <v>1266</v>
      </c>
      <c r="AC320" t="s">
        <v>1293</v>
      </c>
      <c r="AD320" t="s">
        <v>1268</v>
      </c>
      <c r="AE320" t="s">
        <v>1269</v>
      </c>
      <c r="AF320" t="s">
        <v>1270</v>
      </c>
    </row>
    <row r="321" spans="1:32" x14ac:dyDescent="0.25">
      <c r="B321">
        <v>17941</v>
      </c>
      <c r="C321" t="s">
        <v>2313</v>
      </c>
      <c r="D321" t="s">
        <v>1272</v>
      </c>
      <c r="E321" t="s">
        <v>1258</v>
      </c>
      <c r="F321" t="s">
        <v>1259</v>
      </c>
      <c r="G321">
        <v>7900</v>
      </c>
      <c r="H321">
        <v>0</v>
      </c>
      <c r="I321">
        <v>15</v>
      </c>
      <c r="J321">
        <v>0</v>
      </c>
      <c r="K321">
        <v>1</v>
      </c>
      <c r="L321">
        <v>0</v>
      </c>
      <c r="M321">
        <v>79.58</v>
      </c>
      <c r="N321" s="4">
        <v>46267</v>
      </c>
      <c r="O321" t="s">
        <v>2314</v>
      </c>
      <c r="P321" t="s">
        <v>70</v>
      </c>
      <c r="T321" t="s">
        <v>1261</v>
      </c>
      <c r="U321" t="s">
        <v>1262</v>
      </c>
      <c r="V321">
        <v>4906008</v>
      </c>
      <c r="X321" t="s">
        <v>1263</v>
      </c>
      <c r="Y321" t="s">
        <v>2315</v>
      </c>
      <c r="Z321" t="s">
        <v>2315</v>
      </c>
      <c r="AA321" s="5">
        <v>46267.920138888891</v>
      </c>
      <c r="AB321" t="s">
        <v>1266</v>
      </c>
      <c r="AC321" t="s">
        <v>1531</v>
      </c>
      <c r="AD321" t="s">
        <v>1268</v>
      </c>
      <c r="AE321" t="s">
        <v>1269</v>
      </c>
      <c r="AF321" t="s">
        <v>1270</v>
      </c>
    </row>
    <row r="322" spans="1:32" x14ac:dyDescent="0.25">
      <c r="B322">
        <v>15109</v>
      </c>
      <c r="C322" t="s">
        <v>2316</v>
      </c>
      <c r="D322" t="s">
        <v>1272</v>
      </c>
      <c r="E322" t="s">
        <v>1258</v>
      </c>
      <c r="F322" t="s">
        <v>1259</v>
      </c>
      <c r="G322">
        <v>5000</v>
      </c>
      <c r="H322">
        <v>0</v>
      </c>
      <c r="I322">
        <v>15</v>
      </c>
      <c r="J322">
        <v>0</v>
      </c>
      <c r="K322">
        <v>1</v>
      </c>
      <c r="L322">
        <v>0</v>
      </c>
      <c r="M322">
        <v>33095.697999999997</v>
      </c>
      <c r="N322" s="4">
        <v>46267</v>
      </c>
      <c r="O322" t="s">
        <v>2317</v>
      </c>
      <c r="P322" t="s">
        <v>67</v>
      </c>
      <c r="T322" t="s">
        <v>1261</v>
      </c>
      <c r="U322" t="s">
        <v>1262</v>
      </c>
      <c r="V322">
        <v>871046</v>
      </c>
      <c r="X322" t="s">
        <v>1263</v>
      </c>
      <c r="Y322" t="s">
        <v>2318</v>
      </c>
      <c r="Z322" t="s">
        <v>1309</v>
      </c>
      <c r="AA322" s="5">
        <v>46267.92083333333</v>
      </c>
      <c r="AB322" t="s">
        <v>1266</v>
      </c>
      <c r="AD322" t="s">
        <v>1268</v>
      </c>
      <c r="AE322" t="s">
        <v>1269</v>
      </c>
      <c r="AF322" t="s">
        <v>1270</v>
      </c>
    </row>
    <row r="323" spans="1:32" x14ac:dyDescent="0.25">
      <c r="B323">
        <v>15112</v>
      </c>
      <c r="C323" t="s">
        <v>2319</v>
      </c>
      <c r="D323" t="s">
        <v>1272</v>
      </c>
      <c r="E323" t="s">
        <v>1258</v>
      </c>
      <c r="F323" t="s">
        <v>1259</v>
      </c>
      <c r="G323">
        <v>5000</v>
      </c>
      <c r="H323">
        <v>0</v>
      </c>
      <c r="I323">
        <v>15</v>
      </c>
      <c r="J323">
        <v>0</v>
      </c>
      <c r="K323">
        <v>1</v>
      </c>
      <c r="L323">
        <v>0</v>
      </c>
      <c r="M323">
        <v>142487.568</v>
      </c>
      <c r="N323" s="4">
        <v>46267</v>
      </c>
      <c r="O323" t="s">
        <v>2320</v>
      </c>
      <c r="P323" t="s">
        <v>64</v>
      </c>
      <c r="T323" t="s">
        <v>1261</v>
      </c>
      <c r="U323" t="s">
        <v>1262</v>
      </c>
      <c r="V323">
        <v>871046</v>
      </c>
      <c r="X323" t="s">
        <v>1263</v>
      </c>
      <c r="Y323" t="s">
        <v>2321</v>
      </c>
      <c r="Z323" t="s">
        <v>1309</v>
      </c>
      <c r="AA323" s="5">
        <v>46267.921527777777</v>
      </c>
      <c r="AB323" t="s">
        <v>1266</v>
      </c>
      <c r="AD323" t="s">
        <v>1268</v>
      </c>
      <c r="AE323" t="s">
        <v>1269</v>
      </c>
      <c r="AF323" t="s">
        <v>1270</v>
      </c>
    </row>
    <row r="324" spans="1:32" x14ac:dyDescent="0.25">
      <c r="A324">
        <v>756756</v>
      </c>
      <c r="B324">
        <v>1625943</v>
      </c>
      <c r="C324" t="s">
        <v>1319</v>
      </c>
      <c r="D324" t="s">
        <v>1320</v>
      </c>
      <c r="F324" t="s">
        <v>1259</v>
      </c>
      <c r="G324">
        <v>4300</v>
      </c>
      <c r="H324">
        <v>0</v>
      </c>
      <c r="I324">
        <v>15</v>
      </c>
      <c r="J324">
        <v>0</v>
      </c>
      <c r="K324">
        <v>0</v>
      </c>
      <c r="L324">
        <v>0</v>
      </c>
      <c r="M324">
        <v>27.77</v>
      </c>
      <c r="N324" s="4">
        <v>46267</v>
      </c>
      <c r="O324" t="s">
        <v>2322</v>
      </c>
      <c r="P324" t="s">
        <v>60</v>
      </c>
      <c r="T324" t="s">
        <v>1261</v>
      </c>
      <c r="U324" t="s">
        <v>1262</v>
      </c>
      <c r="V324">
        <v>3564672</v>
      </c>
      <c r="X324" t="s">
        <v>1263</v>
      </c>
      <c r="Y324" t="s">
        <v>2323</v>
      </c>
      <c r="Z324" t="s">
        <v>2323</v>
      </c>
      <c r="AA324" s="5">
        <v>46267.92291666667</v>
      </c>
      <c r="AB324" t="s">
        <v>1266</v>
      </c>
      <c r="AC324" t="s">
        <v>1293</v>
      </c>
      <c r="AD324" t="s">
        <v>1268</v>
      </c>
      <c r="AE324" t="s">
        <v>1269</v>
      </c>
      <c r="AF324" t="s">
        <v>1270</v>
      </c>
    </row>
    <row r="325" spans="1:32" x14ac:dyDescent="0.25">
      <c r="B325">
        <v>15111</v>
      </c>
      <c r="C325" t="s">
        <v>1315</v>
      </c>
      <c r="D325" t="s">
        <v>1272</v>
      </c>
      <c r="E325" t="s">
        <v>1258</v>
      </c>
      <c r="F325" t="s">
        <v>1259</v>
      </c>
      <c r="G325">
        <v>5000</v>
      </c>
      <c r="H325">
        <v>0</v>
      </c>
      <c r="I325">
        <v>15</v>
      </c>
      <c r="J325">
        <v>0</v>
      </c>
      <c r="K325">
        <v>1</v>
      </c>
      <c r="L325">
        <v>0</v>
      </c>
      <c r="M325">
        <v>4042.4780000000001</v>
      </c>
      <c r="N325" s="4">
        <v>46267</v>
      </c>
      <c r="O325" t="s">
        <v>2324</v>
      </c>
      <c r="P325" t="s">
        <v>57</v>
      </c>
      <c r="T325" t="s">
        <v>1261</v>
      </c>
      <c r="U325" t="s">
        <v>1262</v>
      </c>
      <c r="V325">
        <v>871046</v>
      </c>
      <c r="X325" t="s">
        <v>1263</v>
      </c>
      <c r="Y325" t="s">
        <v>2325</v>
      </c>
      <c r="Z325" t="s">
        <v>1309</v>
      </c>
      <c r="AA325" s="5">
        <v>46267.923611111109</v>
      </c>
      <c r="AB325" t="s">
        <v>1266</v>
      </c>
      <c r="AD325" t="s">
        <v>1268</v>
      </c>
      <c r="AE325" t="s">
        <v>1269</v>
      </c>
      <c r="AF325" t="s">
        <v>1270</v>
      </c>
    </row>
    <row r="326" spans="1:32" x14ac:dyDescent="0.25">
      <c r="B326">
        <v>15115</v>
      </c>
      <c r="C326" t="s">
        <v>2281</v>
      </c>
      <c r="D326" t="s">
        <v>1272</v>
      </c>
      <c r="E326" t="s">
        <v>1258</v>
      </c>
      <c r="F326" t="s">
        <v>1259</v>
      </c>
      <c r="G326">
        <v>5000</v>
      </c>
      <c r="H326">
        <v>0</v>
      </c>
      <c r="I326">
        <v>15</v>
      </c>
      <c r="J326">
        <v>0</v>
      </c>
      <c r="K326">
        <v>1</v>
      </c>
      <c r="L326">
        <v>0</v>
      </c>
      <c r="M326">
        <v>6215.1040000000003</v>
      </c>
      <c r="N326" s="4">
        <v>46267</v>
      </c>
      <c r="O326" t="s">
        <v>2326</v>
      </c>
      <c r="P326" t="s">
        <v>53</v>
      </c>
      <c r="T326" t="s">
        <v>1261</v>
      </c>
      <c r="U326" t="s">
        <v>1262</v>
      </c>
      <c r="V326">
        <v>871046</v>
      </c>
      <c r="X326" t="s">
        <v>1263</v>
      </c>
      <c r="Y326" t="s">
        <v>2327</v>
      </c>
      <c r="Z326" t="s">
        <v>1309</v>
      </c>
      <c r="AA326" s="5">
        <v>46267.924305555556</v>
      </c>
      <c r="AB326" t="s">
        <v>1266</v>
      </c>
      <c r="AD326" t="s">
        <v>1268</v>
      </c>
      <c r="AE326" t="s">
        <v>1269</v>
      </c>
      <c r="AF326" t="s">
        <v>1270</v>
      </c>
    </row>
    <row r="327" spans="1:32" x14ac:dyDescent="0.25">
      <c r="A327">
        <v>756756</v>
      </c>
      <c r="B327">
        <v>254710239694</v>
      </c>
      <c r="C327" t="s">
        <v>2328</v>
      </c>
      <c r="D327" t="s">
        <v>1286</v>
      </c>
      <c r="F327" t="s">
        <v>1259</v>
      </c>
      <c r="G327">
        <v>750</v>
      </c>
      <c r="H327">
        <v>0</v>
      </c>
      <c r="I327">
        <v>20</v>
      </c>
      <c r="J327">
        <v>0</v>
      </c>
      <c r="K327">
        <v>0</v>
      </c>
      <c r="L327">
        <v>0</v>
      </c>
      <c r="M327">
        <v>1142</v>
      </c>
      <c r="N327" s="4">
        <v>46267</v>
      </c>
      <c r="O327" t="s">
        <v>2329</v>
      </c>
      <c r="P327" t="s">
        <v>46</v>
      </c>
      <c r="S327" t="s">
        <v>1334</v>
      </c>
      <c r="T327" t="s">
        <v>1261</v>
      </c>
      <c r="U327" t="s">
        <v>1262</v>
      </c>
      <c r="V327">
        <v>714888</v>
      </c>
      <c r="W327" t="s">
        <v>1334</v>
      </c>
      <c r="X327" t="s">
        <v>1263</v>
      </c>
      <c r="Y327" t="s">
        <v>2330</v>
      </c>
      <c r="Z327">
        <v>323989</v>
      </c>
      <c r="AA327" s="5">
        <v>46267.924305555556</v>
      </c>
      <c r="AB327" t="s">
        <v>1266</v>
      </c>
      <c r="AC327" t="s">
        <v>1293</v>
      </c>
      <c r="AD327" t="s">
        <v>1268</v>
      </c>
      <c r="AE327" t="s">
        <v>1269</v>
      </c>
      <c r="AF327" t="s">
        <v>1270</v>
      </c>
    </row>
    <row r="328" spans="1:32" x14ac:dyDescent="0.25">
      <c r="A328">
        <v>455555</v>
      </c>
      <c r="B328">
        <v>1691107</v>
      </c>
      <c r="C328" t="s">
        <v>2331</v>
      </c>
      <c r="D328" t="s">
        <v>1286</v>
      </c>
      <c r="F328" t="s">
        <v>1259</v>
      </c>
      <c r="G328">
        <v>1050</v>
      </c>
      <c r="H328">
        <v>0</v>
      </c>
      <c r="I328">
        <v>10</v>
      </c>
      <c r="J328">
        <v>0</v>
      </c>
      <c r="K328">
        <v>0</v>
      </c>
      <c r="L328">
        <v>0</v>
      </c>
      <c r="M328">
        <v>5902</v>
      </c>
      <c r="N328" s="4">
        <v>46267</v>
      </c>
      <c r="O328" t="s">
        <v>2332</v>
      </c>
      <c r="P328" t="s">
        <v>2333</v>
      </c>
      <c r="T328" t="s">
        <v>1261</v>
      </c>
      <c r="U328" t="s">
        <v>1262</v>
      </c>
      <c r="V328">
        <v>9239183</v>
      </c>
      <c r="X328" t="s">
        <v>1263</v>
      </c>
      <c r="Y328" t="s">
        <v>2334</v>
      </c>
      <c r="Z328" t="s">
        <v>2334</v>
      </c>
      <c r="AA328" s="5">
        <v>46267.958333333336</v>
      </c>
      <c r="AB328" t="s">
        <v>1266</v>
      </c>
      <c r="AC328" t="s">
        <v>1293</v>
      </c>
      <c r="AD328" t="s">
        <v>1268</v>
      </c>
      <c r="AE328" t="s">
        <v>1269</v>
      </c>
      <c r="AF328" t="s">
        <v>1270</v>
      </c>
    </row>
    <row r="329" spans="1:32" x14ac:dyDescent="0.25">
      <c r="A329">
        <v>756756</v>
      </c>
      <c r="B329">
        <v>254723836614</v>
      </c>
      <c r="C329" t="s">
        <v>2335</v>
      </c>
      <c r="D329" t="s">
        <v>1286</v>
      </c>
      <c r="F329" t="s">
        <v>1259</v>
      </c>
      <c r="G329">
        <v>1450</v>
      </c>
      <c r="H329">
        <v>0</v>
      </c>
      <c r="I329">
        <v>10</v>
      </c>
      <c r="J329">
        <v>0</v>
      </c>
      <c r="K329">
        <v>0</v>
      </c>
      <c r="L329">
        <v>0</v>
      </c>
      <c r="M329">
        <v>111</v>
      </c>
      <c r="N329" s="4">
        <v>46267</v>
      </c>
      <c r="O329" t="s">
        <v>2336</v>
      </c>
      <c r="P329" t="s">
        <v>35</v>
      </c>
      <c r="T329" t="s">
        <v>1261</v>
      </c>
      <c r="U329" t="s">
        <v>1262</v>
      </c>
      <c r="V329">
        <v>727654</v>
      </c>
      <c r="X329" t="s">
        <v>1263</v>
      </c>
      <c r="Y329" t="s">
        <v>2337</v>
      </c>
      <c r="Z329" t="s">
        <v>2337</v>
      </c>
      <c r="AA329" s="5">
        <v>46267.982638888891</v>
      </c>
      <c r="AB329" t="s">
        <v>1266</v>
      </c>
      <c r="AC329" t="s">
        <v>1293</v>
      </c>
      <c r="AD329" t="s">
        <v>1268</v>
      </c>
      <c r="AE329" t="s">
        <v>1269</v>
      </c>
      <c r="AF329" t="s">
        <v>1270</v>
      </c>
    </row>
  </sheetData>
  <autoFilter ref="A1:AF329" xr:uid="{2ECABF59-E207-4356-B410-D2E3978EC95D}">
    <filterColumn colId="29">
      <filters>
        <filter val="PROCESSING"/>
        <filter val="SUCCES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C5F8-7FBF-42D6-A3A6-3D6D6CBC8826}">
  <dimension ref="A1:AU310"/>
  <sheetViews>
    <sheetView topLeftCell="A299" workbookViewId="0">
      <selection activeCell="P312" sqref="P312"/>
    </sheetView>
  </sheetViews>
  <sheetFormatPr defaultRowHeight="12.5" x14ac:dyDescent="0.25"/>
  <cols>
    <col min="1" max="1" width="12.453125" customWidth="1"/>
    <col min="3" max="3" width="15.08984375" hidden="1" customWidth="1"/>
    <col min="4" max="4" width="0" hidden="1" customWidth="1"/>
    <col min="5" max="5" width="15.26953125" hidden="1" customWidth="1"/>
    <col min="6" max="6" width="0" hidden="1" customWidth="1"/>
    <col min="7" max="7" width="24.1796875" customWidth="1"/>
    <col min="8" max="10" width="0" hidden="1" customWidth="1"/>
    <col min="12" max="12" width="0" hidden="1" customWidth="1"/>
    <col min="14" max="14" width="8.7265625" style="7"/>
    <col min="21" max="21" width="12.7265625" bestFit="1" customWidth="1"/>
  </cols>
  <sheetData>
    <row r="1" spans="1:47" ht="13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O1" t="s">
        <v>1226</v>
      </c>
      <c r="P1" t="s">
        <v>1227</v>
      </c>
      <c r="Q1" t="s">
        <v>1228</v>
      </c>
      <c r="R1" t="s">
        <v>1229</v>
      </c>
      <c r="S1" t="s">
        <v>1230</v>
      </c>
      <c r="T1" t="s">
        <v>1231</v>
      </c>
      <c r="U1" t="s">
        <v>1232</v>
      </c>
      <c r="W1" t="s">
        <v>1233</v>
      </c>
      <c r="X1" t="s">
        <v>1234</v>
      </c>
      <c r="Y1" t="s">
        <v>1235</v>
      </c>
      <c r="Z1" t="s">
        <v>1236</v>
      </c>
      <c r="AA1" t="s">
        <v>1237</v>
      </c>
      <c r="AB1" t="s">
        <v>1238</v>
      </c>
      <c r="AC1" t="s">
        <v>1239</v>
      </c>
      <c r="AD1" t="s">
        <v>1240</v>
      </c>
      <c r="AE1" t="s">
        <v>1241</v>
      </c>
      <c r="AF1" t="s">
        <v>1242</v>
      </c>
      <c r="AG1" t="s">
        <v>1243</v>
      </c>
      <c r="AH1" t="s">
        <v>1244</v>
      </c>
      <c r="AI1" t="s">
        <v>1245</v>
      </c>
      <c r="AJ1" t="s">
        <v>1246</v>
      </c>
      <c r="AK1" t="s">
        <v>1247</v>
      </c>
      <c r="AL1" t="s">
        <v>1248</v>
      </c>
      <c r="AM1" t="s">
        <v>1249</v>
      </c>
      <c r="AN1" t="s">
        <v>1250</v>
      </c>
      <c r="AO1" t="s">
        <v>1251</v>
      </c>
      <c r="AP1" t="s">
        <v>23</v>
      </c>
      <c r="AQ1" t="s">
        <v>1252</v>
      </c>
      <c r="AR1" t="s">
        <v>25</v>
      </c>
      <c r="AS1" t="s">
        <v>1253</v>
      </c>
      <c r="AT1" t="s">
        <v>1254</v>
      </c>
      <c r="AU1" t="s">
        <v>1255</v>
      </c>
    </row>
    <row r="2" spans="1:47" x14ac:dyDescent="0.25">
      <c r="A2" s="1" t="s">
        <v>1222</v>
      </c>
      <c r="B2" s="1" t="s">
        <v>1223</v>
      </c>
      <c r="C2" s="1" t="s">
        <v>1223</v>
      </c>
      <c r="D2" s="1" t="s">
        <v>1224</v>
      </c>
      <c r="E2" s="1" t="s">
        <v>38</v>
      </c>
      <c r="F2" s="1" t="s">
        <v>39</v>
      </c>
      <c r="G2" s="2">
        <v>-1780</v>
      </c>
      <c r="H2" s="2">
        <v>28661758.390000001</v>
      </c>
      <c r="I2" s="1" t="s">
        <v>40</v>
      </c>
      <c r="J2" s="1" t="s">
        <v>41</v>
      </c>
      <c r="K2" s="1" t="s">
        <v>1225</v>
      </c>
      <c r="L2" s="1" t="s">
        <v>39</v>
      </c>
      <c r="M2" s="1" t="s">
        <v>39</v>
      </c>
      <c r="P2">
        <v>784176</v>
      </c>
      <c r="Q2" t="s">
        <v>1256</v>
      </c>
      <c r="R2" t="s">
        <v>1257</v>
      </c>
      <c r="S2" t="s">
        <v>1258</v>
      </c>
      <c r="T2" t="s">
        <v>1259</v>
      </c>
      <c r="U2">
        <v>1780</v>
      </c>
      <c r="V2" s="8">
        <f>G2+U2</f>
        <v>0</v>
      </c>
      <c r="W2">
        <v>0</v>
      </c>
      <c r="X2">
        <v>10</v>
      </c>
      <c r="Y2">
        <v>0</v>
      </c>
      <c r="Z2">
        <v>1</v>
      </c>
      <c r="AA2">
        <v>0</v>
      </c>
      <c r="AB2">
        <v>120551.14</v>
      </c>
      <c r="AC2" s="4">
        <v>46267</v>
      </c>
      <c r="AD2" t="s">
        <v>1260</v>
      </c>
      <c r="AE2" t="s">
        <v>1222</v>
      </c>
      <c r="AI2" t="s">
        <v>1261</v>
      </c>
      <c r="AJ2" t="s">
        <v>1262</v>
      </c>
      <c r="AK2">
        <v>4999930</v>
      </c>
      <c r="AM2" t="s">
        <v>1263</v>
      </c>
      <c r="AN2" t="s">
        <v>1264</v>
      </c>
      <c r="AO2" t="s">
        <v>1265</v>
      </c>
      <c r="AP2" s="5">
        <v>46267.043055555558</v>
      </c>
      <c r="AQ2" t="s">
        <v>1266</v>
      </c>
      <c r="AR2" t="s">
        <v>1267</v>
      </c>
      <c r="AS2" t="s">
        <v>1268</v>
      </c>
      <c r="AT2" t="s">
        <v>1269</v>
      </c>
      <c r="AU2" t="s">
        <v>1270</v>
      </c>
    </row>
    <row r="3" spans="1:47" x14ac:dyDescent="0.25">
      <c r="A3" s="1" t="s">
        <v>1218</v>
      </c>
      <c r="B3" s="1" t="s">
        <v>1219</v>
      </c>
      <c r="C3" s="1" t="s">
        <v>1220</v>
      </c>
      <c r="D3" s="1" t="s">
        <v>1221</v>
      </c>
      <c r="E3" s="1" t="s">
        <v>38</v>
      </c>
      <c r="F3" s="1" t="s">
        <v>39</v>
      </c>
      <c r="G3" s="2">
        <v>-5650</v>
      </c>
      <c r="H3" s="2">
        <v>28656083.390000001</v>
      </c>
      <c r="I3" s="1" t="s">
        <v>40</v>
      </c>
      <c r="J3" s="1" t="s">
        <v>41</v>
      </c>
      <c r="K3" s="1" t="s">
        <v>82</v>
      </c>
      <c r="L3" s="1" t="s">
        <v>39</v>
      </c>
      <c r="M3" s="1" t="s">
        <v>39</v>
      </c>
      <c r="P3">
        <v>80421</v>
      </c>
      <c r="Q3" t="s">
        <v>1271</v>
      </c>
      <c r="R3" t="s">
        <v>1272</v>
      </c>
      <c r="S3" t="s">
        <v>1258</v>
      </c>
      <c r="T3" t="s">
        <v>1259</v>
      </c>
      <c r="U3">
        <v>5650</v>
      </c>
      <c r="V3" s="8">
        <f>G3+U3</f>
        <v>0</v>
      </c>
      <c r="W3">
        <v>0</v>
      </c>
      <c r="X3">
        <v>15</v>
      </c>
      <c r="Y3">
        <v>0</v>
      </c>
      <c r="Z3">
        <v>1</v>
      </c>
      <c r="AA3">
        <v>0</v>
      </c>
      <c r="AB3">
        <v>36.933999999999997</v>
      </c>
      <c r="AC3" s="4">
        <v>46267</v>
      </c>
      <c r="AD3" t="s">
        <v>1273</v>
      </c>
      <c r="AE3" t="s">
        <v>1218</v>
      </c>
      <c r="AI3" t="s">
        <v>1261</v>
      </c>
      <c r="AJ3" t="s">
        <v>1262</v>
      </c>
      <c r="AK3">
        <v>9246253</v>
      </c>
      <c r="AM3" t="s">
        <v>1263</v>
      </c>
      <c r="AN3" t="s">
        <v>1274</v>
      </c>
      <c r="AO3" t="s">
        <v>1275</v>
      </c>
      <c r="AP3" s="5">
        <v>46267.214583333334</v>
      </c>
      <c r="AQ3" t="s">
        <v>1266</v>
      </c>
      <c r="AS3" t="s">
        <v>1268</v>
      </c>
      <c r="AT3" t="s">
        <v>1269</v>
      </c>
      <c r="AU3" t="s">
        <v>1270</v>
      </c>
    </row>
    <row r="4" spans="1:47" x14ac:dyDescent="0.25">
      <c r="A4" s="1" t="s">
        <v>1213</v>
      </c>
      <c r="B4" s="1" t="s">
        <v>1214</v>
      </c>
      <c r="C4" s="1" t="s">
        <v>1214</v>
      </c>
      <c r="D4" s="1" t="s">
        <v>170</v>
      </c>
      <c r="E4" s="1" t="s">
        <v>38</v>
      </c>
      <c r="F4" s="1" t="s">
        <v>39</v>
      </c>
      <c r="G4" s="2">
        <v>-6700</v>
      </c>
      <c r="H4" s="2">
        <v>28635622.390000001</v>
      </c>
      <c r="I4" s="1" t="s">
        <v>40</v>
      </c>
      <c r="J4" s="1" t="s">
        <v>41</v>
      </c>
      <c r="K4" s="1" t="s">
        <v>104</v>
      </c>
      <c r="L4" s="1" t="s">
        <v>39</v>
      </c>
      <c r="M4" s="1" t="s">
        <v>39</v>
      </c>
      <c r="P4">
        <v>77480</v>
      </c>
      <c r="Q4" t="s">
        <v>1279</v>
      </c>
      <c r="R4" t="s">
        <v>1272</v>
      </c>
      <c r="S4" t="s">
        <v>1258</v>
      </c>
      <c r="T4" t="s">
        <v>1259</v>
      </c>
      <c r="U4">
        <v>6700</v>
      </c>
      <c r="V4" s="8">
        <f>G4+U4</f>
        <v>0</v>
      </c>
      <c r="W4">
        <v>0</v>
      </c>
      <c r="X4">
        <v>15</v>
      </c>
      <c r="Y4">
        <v>0</v>
      </c>
      <c r="Z4">
        <v>1</v>
      </c>
      <c r="AA4">
        <v>0</v>
      </c>
      <c r="AB4">
        <v>21.98</v>
      </c>
      <c r="AC4" s="4">
        <v>46267</v>
      </c>
      <c r="AD4" t="s">
        <v>1280</v>
      </c>
      <c r="AE4" t="s">
        <v>1213</v>
      </c>
      <c r="AI4" t="s">
        <v>1261</v>
      </c>
      <c r="AJ4" t="s">
        <v>1262</v>
      </c>
      <c r="AK4">
        <v>821697</v>
      </c>
      <c r="AM4" t="s">
        <v>1263</v>
      </c>
      <c r="AN4" t="s">
        <v>1281</v>
      </c>
      <c r="AO4" t="s">
        <v>1275</v>
      </c>
      <c r="AP4" s="5">
        <v>46267.272222222222</v>
      </c>
      <c r="AQ4" t="s">
        <v>1266</v>
      </c>
      <c r="AS4" t="s">
        <v>1268</v>
      </c>
      <c r="AT4" t="s">
        <v>1269</v>
      </c>
      <c r="AU4" t="s">
        <v>1270</v>
      </c>
    </row>
    <row r="5" spans="1:47" x14ac:dyDescent="0.25">
      <c r="A5" s="1" t="s">
        <v>1203</v>
      </c>
      <c r="B5" s="1" t="s">
        <v>1204</v>
      </c>
      <c r="C5" s="1" t="s">
        <v>1204</v>
      </c>
      <c r="D5" s="1" t="s">
        <v>1205</v>
      </c>
      <c r="E5" s="1" t="s">
        <v>38</v>
      </c>
      <c r="F5" s="1" t="s">
        <v>39</v>
      </c>
      <c r="G5" s="2">
        <v>-1500</v>
      </c>
      <c r="H5" s="2">
        <v>28531025.390000001</v>
      </c>
      <c r="I5" s="1" t="s">
        <v>40</v>
      </c>
      <c r="J5" s="1" t="s">
        <v>41</v>
      </c>
      <c r="K5" s="1" t="s">
        <v>1206</v>
      </c>
      <c r="L5" s="1" t="s">
        <v>39</v>
      </c>
      <c r="M5" s="1" t="s">
        <v>39</v>
      </c>
      <c r="O5">
        <v>756756</v>
      </c>
      <c r="P5">
        <v>254720233020</v>
      </c>
      <c r="Q5" t="s">
        <v>1290</v>
      </c>
      <c r="R5" t="s">
        <v>1286</v>
      </c>
      <c r="T5" t="s">
        <v>1259</v>
      </c>
      <c r="U5">
        <v>1500</v>
      </c>
      <c r="V5" s="8">
        <f>G5+U5</f>
        <v>0</v>
      </c>
      <c r="W5">
        <v>0</v>
      </c>
      <c r="X5">
        <v>10</v>
      </c>
      <c r="Y5">
        <v>0</v>
      </c>
      <c r="Z5">
        <v>0</v>
      </c>
      <c r="AA5">
        <v>0</v>
      </c>
      <c r="AB5">
        <v>7232</v>
      </c>
      <c r="AC5" s="4">
        <v>46267</v>
      </c>
      <c r="AD5" t="s">
        <v>1291</v>
      </c>
      <c r="AE5" t="s">
        <v>1203</v>
      </c>
      <c r="AI5" t="s">
        <v>1261</v>
      </c>
      <c r="AJ5" t="s">
        <v>1262</v>
      </c>
      <c r="AK5">
        <v>634264</v>
      </c>
      <c r="AM5" t="s">
        <v>1263</v>
      </c>
      <c r="AN5" t="s">
        <v>1292</v>
      </c>
      <c r="AO5" t="s">
        <v>1292</v>
      </c>
      <c r="AP5" s="5">
        <v>46267.349305555559</v>
      </c>
      <c r="AQ5" t="s">
        <v>1266</v>
      </c>
      <c r="AR5" t="s">
        <v>1293</v>
      </c>
      <c r="AS5" t="s">
        <v>1268</v>
      </c>
      <c r="AT5" t="s">
        <v>1269</v>
      </c>
      <c r="AU5" t="s">
        <v>1270</v>
      </c>
    </row>
    <row r="6" spans="1:47" x14ac:dyDescent="0.25">
      <c r="A6" s="1" t="s">
        <v>1192</v>
      </c>
      <c r="B6" s="1" t="s">
        <v>1193</v>
      </c>
      <c r="C6" s="1" t="s">
        <v>1194</v>
      </c>
      <c r="D6" s="1" t="s">
        <v>1195</v>
      </c>
      <c r="E6" s="1" t="s">
        <v>38</v>
      </c>
      <c r="F6" s="1" t="s">
        <v>39</v>
      </c>
      <c r="G6" s="2">
        <v>-6000</v>
      </c>
      <c r="H6" s="2">
        <v>28517448.390000001</v>
      </c>
      <c r="I6" s="1" t="s">
        <v>40</v>
      </c>
      <c r="J6" s="1" t="s">
        <v>41</v>
      </c>
      <c r="K6" s="1" t="s">
        <v>108</v>
      </c>
      <c r="L6" s="1" t="s">
        <v>39</v>
      </c>
      <c r="M6" s="1" t="s">
        <v>39</v>
      </c>
      <c r="P6">
        <v>15114</v>
      </c>
      <c r="Q6" t="s">
        <v>1306</v>
      </c>
      <c r="R6" t="s">
        <v>1272</v>
      </c>
      <c r="S6" t="s">
        <v>1258</v>
      </c>
      <c r="T6" t="s">
        <v>1259</v>
      </c>
      <c r="U6">
        <v>6000</v>
      </c>
      <c r="V6" s="8">
        <f>G6+U6</f>
        <v>0</v>
      </c>
      <c r="W6">
        <v>0</v>
      </c>
      <c r="X6">
        <v>15</v>
      </c>
      <c r="Y6">
        <v>0</v>
      </c>
      <c r="Z6">
        <v>1</v>
      </c>
      <c r="AA6">
        <v>0</v>
      </c>
      <c r="AB6">
        <v>13608.611999999999</v>
      </c>
      <c r="AC6" s="4">
        <v>46267</v>
      </c>
      <c r="AD6" t="s">
        <v>1307</v>
      </c>
      <c r="AE6" t="s">
        <v>1192</v>
      </c>
      <c r="AI6" t="s">
        <v>1261</v>
      </c>
      <c r="AJ6" t="s">
        <v>1262</v>
      </c>
      <c r="AK6">
        <v>968512</v>
      </c>
      <c r="AM6" t="s">
        <v>1263</v>
      </c>
      <c r="AN6" t="s">
        <v>1308</v>
      </c>
      <c r="AO6" t="s">
        <v>1309</v>
      </c>
      <c r="AP6" s="5">
        <v>46267.373611111114</v>
      </c>
      <c r="AQ6" t="s">
        <v>1266</v>
      </c>
      <c r="AS6" t="s">
        <v>1268</v>
      </c>
      <c r="AT6" t="s">
        <v>1269</v>
      </c>
      <c r="AU6" t="s">
        <v>1270</v>
      </c>
    </row>
    <row r="7" spans="1:47" x14ac:dyDescent="0.25">
      <c r="A7" s="1" t="s">
        <v>1215</v>
      </c>
      <c r="B7" s="1" t="s">
        <v>1216</v>
      </c>
      <c r="C7" s="1" t="s">
        <v>1216</v>
      </c>
      <c r="D7" s="1" t="s">
        <v>1217</v>
      </c>
      <c r="E7" s="1" t="s">
        <v>38</v>
      </c>
      <c r="F7" s="1" t="s">
        <v>39</v>
      </c>
      <c r="G7" s="2">
        <v>-13650</v>
      </c>
      <c r="H7" s="2">
        <v>28642385.390000001</v>
      </c>
      <c r="I7" s="1" t="s">
        <v>40</v>
      </c>
      <c r="J7" s="1" t="s">
        <v>41</v>
      </c>
      <c r="K7" s="1" t="s">
        <v>104</v>
      </c>
      <c r="L7" s="1" t="s">
        <v>39</v>
      </c>
      <c r="M7" s="1" t="s">
        <v>39</v>
      </c>
      <c r="P7">
        <v>77489</v>
      </c>
      <c r="Q7" t="s">
        <v>1276</v>
      </c>
      <c r="R7" t="s">
        <v>1272</v>
      </c>
      <c r="S7" t="s">
        <v>1258</v>
      </c>
      <c r="T7" t="s">
        <v>1259</v>
      </c>
      <c r="U7">
        <v>13650</v>
      </c>
      <c r="V7" s="8">
        <f>G7+U7</f>
        <v>0</v>
      </c>
      <c r="W7">
        <v>0</v>
      </c>
      <c r="X7">
        <v>15</v>
      </c>
      <c r="Y7">
        <v>0</v>
      </c>
      <c r="Z7">
        <v>1</v>
      </c>
      <c r="AA7">
        <v>0</v>
      </c>
      <c r="AB7">
        <v>11.15</v>
      </c>
      <c r="AC7" s="4">
        <v>46267</v>
      </c>
      <c r="AD7" t="s">
        <v>1277</v>
      </c>
      <c r="AE7" t="s">
        <v>1215</v>
      </c>
      <c r="AI7" t="s">
        <v>1261</v>
      </c>
      <c r="AJ7" t="s">
        <v>1262</v>
      </c>
      <c r="AK7">
        <v>821697</v>
      </c>
      <c r="AM7" t="s">
        <v>1263</v>
      </c>
      <c r="AN7" t="s">
        <v>1278</v>
      </c>
      <c r="AO7" t="s">
        <v>1275</v>
      </c>
      <c r="AP7" s="5">
        <v>46267.271527777775</v>
      </c>
      <c r="AQ7" t="s">
        <v>1266</v>
      </c>
      <c r="AS7" t="s">
        <v>1268</v>
      </c>
      <c r="AT7" t="s">
        <v>1269</v>
      </c>
      <c r="AU7" t="s">
        <v>1270</v>
      </c>
    </row>
    <row r="8" spans="1:47" x14ac:dyDescent="0.25">
      <c r="A8" s="1" t="s">
        <v>1184</v>
      </c>
      <c r="B8" s="1" t="s">
        <v>1185</v>
      </c>
      <c r="C8" s="1" t="s">
        <v>1185</v>
      </c>
      <c r="D8" s="1" t="s">
        <v>129</v>
      </c>
      <c r="E8" s="1" t="s">
        <v>38</v>
      </c>
      <c r="F8" s="1" t="s">
        <v>39</v>
      </c>
      <c r="G8" s="2">
        <v>-10000</v>
      </c>
      <c r="H8" s="2">
        <v>28505882.390000001</v>
      </c>
      <c r="I8" s="1" t="s">
        <v>40</v>
      </c>
      <c r="J8" s="1" t="s">
        <v>41</v>
      </c>
      <c r="K8" s="1" t="s">
        <v>130</v>
      </c>
      <c r="L8" s="1" t="s">
        <v>39</v>
      </c>
      <c r="M8" s="1" t="s">
        <v>39</v>
      </c>
      <c r="P8">
        <v>15111</v>
      </c>
      <c r="Q8" t="s">
        <v>1315</v>
      </c>
      <c r="R8" t="s">
        <v>1272</v>
      </c>
      <c r="S8" t="s">
        <v>1258</v>
      </c>
      <c r="T8" t="s">
        <v>1259</v>
      </c>
      <c r="U8">
        <v>10000</v>
      </c>
      <c r="V8" s="8">
        <f>G8+U8</f>
        <v>0</v>
      </c>
      <c r="W8">
        <v>0</v>
      </c>
      <c r="X8">
        <v>15</v>
      </c>
      <c r="Y8">
        <v>0</v>
      </c>
      <c r="Z8">
        <v>1</v>
      </c>
      <c r="AA8">
        <v>0</v>
      </c>
      <c r="AB8">
        <v>1124.4580000000001</v>
      </c>
      <c r="AC8" s="4">
        <v>46267</v>
      </c>
      <c r="AD8" t="s">
        <v>1316</v>
      </c>
      <c r="AE8" t="s">
        <v>1184</v>
      </c>
      <c r="AI8" t="s">
        <v>1261</v>
      </c>
      <c r="AJ8" t="s">
        <v>1262</v>
      </c>
      <c r="AK8">
        <v>9926197</v>
      </c>
      <c r="AM8" t="s">
        <v>1263</v>
      </c>
      <c r="AN8" t="s">
        <v>1317</v>
      </c>
      <c r="AO8" t="s">
        <v>1318</v>
      </c>
      <c r="AP8" s="5">
        <v>46267.397916666669</v>
      </c>
      <c r="AQ8" t="s">
        <v>1266</v>
      </c>
      <c r="AS8" t="s">
        <v>1268</v>
      </c>
      <c r="AT8" t="s">
        <v>1269</v>
      </c>
      <c r="AU8" t="s">
        <v>1270</v>
      </c>
    </row>
    <row r="9" spans="1:47" x14ac:dyDescent="0.25">
      <c r="A9" s="1" t="s">
        <v>1211</v>
      </c>
      <c r="B9" s="1" t="s">
        <v>1212</v>
      </c>
      <c r="C9" s="1" t="s">
        <v>1212</v>
      </c>
      <c r="D9" s="1" t="s">
        <v>103</v>
      </c>
      <c r="E9" s="1" t="s">
        <v>38</v>
      </c>
      <c r="F9" s="1" t="s">
        <v>39</v>
      </c>
      <c r="G9" s="2">
        <v>-5400</v>
      </c>
      <c r="H9" s="2">
        <v>28630174.390000001</v>
      </c>
      <c r="I9" s="1" t="s">
        <v>40</v>
      </c>
      <c r="J9" s="1" t="s">
        <v>41</v>
      </c>
      <c r="K9" s="1" t="s">
        <v>104</v>
      </c>
      <c r="L9" s="1" t="s">
        <v>39</v>
      </c>
      <c r="M9" s="1" t="s">
        <v>39</v>
      </c>
      <c r="P9">
        <v>77487</v>
      </c>
      <c r="Q9" t="s">
        <v>1282</v>
      </c>
      <c r="R9" t="s">
        <v>1272</v>
      </c>
      <c r="S9" t="s">
        <v>1258</v>
      </c>
      <c r="T9" t="s">
        <v>1259</v>
      </c>
      <c r="U9">
        <v>5400</v>
      </c>
      <c r="V9" s="8">
        <f>G9+U9</f>
        <v>0</v>
      </c>
      <c r="W9">
        <v>0</v>
      </c>
      <c r="X9">
        <v>15</v>
      </c>
      <c r="Y9">
        <v>0</v>
      </c>
      <c r="Z9">
        <v>1</v>
      </c>
      <c r="AA9">
        <v>0</v>
      </c>
      <c r="AB9">
        <v>33.795999999999999</v>
      </c>
      <c r="AC9" s="4">
        <v>46267</v>
      </c>
      <c r="AD9" t="s">
        <v>1283</v>
      </c>
      <c r="AE9" t="s">
        <v>1211</v>
      </c>
      <c r="AI9" t="s">
        <v>1261</v>
      </c>
      <c r="AJ9" t="s">
        <v>1262</v>
      </c>
      <c r="AK9">
        <v>821697</v>
      </c>
      <c r="AM9" t="s">
        <v>1263</v>
      </c>
      <c r="AN9" t="s">
        <v>1284</v>
      </c>
      <c r="AO9" t="s">
        <v>1275</v>
      </c>
      <c r="AP9" s="5">
        <v>46267.272916666669</v>
      </c>
      <c r="AQ9" t="s">
        <v>1266</v>
      </c>
      <c r="AS9" t="s">
        <v>1268</v>
      </c>
      <c r="AT9" t="s">
        <v>1269</v>
      </c>
      <c r="AU9" t="s">
        <v>1270</v>
      </c>
    </row>
    <row r="10" spans="1:47" x14ac:dyDescent="0.25">
      <c r="A10" s="1" t="s">
        <v>1207</v>
      </c>
      <c r="B10" s="1" t="s">
        <v>1208</v>
      </c>
      <c r="C10" s="1" t="s">
        <v>1208</v>
      </c>
      <c r="D10" s="1" t="s">
        <v>1209</v>
      </c>
      <c r="E10" s="1" t="s">
        <v>38</v>
      </c>
      <c r="F10" s="1" t="s">
        <v>39</v>
      </c>
      <c r="G10" s="2">
        <v>-97486</v>
      </c>
      <c r="H10" s="2">
        <v>28532640.390000001</v>
      </c>
      <c r="I10" s="1" t="s">
        <v>40</v>
      </c>
      <c r="J10" s="1" t="s">
        <v>41</v>
      </c>
      <c r="K10" s="1" t="s">
        <v>1210</v>
      </c>
      <c r="L10" s="1" t="s">
        <v>39</v>
      </c>
      <c r="M10" s="1" t="s">
        <v>39</v>
      </c>
      <c r="P10">
        <v>1586202</v>
      </c>
      <c r="Q10" t="s">
        <v>1285</v>
      </c>
      <c r="R10" t="s">
        <v>1286</v>
      </c>
      <c r="T10" t="s">
        <v>1259</v>
      </c>
      <c r="U10">
        <v>97486</v>
      </c>
      <c r="V10" s="8">
        <f>G10+U10</f>
        <v>0</v>
      </c>
      <c r="W10">
        <v>0</v>
      </c>
      <c r="X10">
        <v>15</v>
      </c>
      <c r="Y10">
        <v>15</v>
      </c>
      <c r="Z10">
        <v>0</v>
      </c>
      <c r="AA10">
        <v>0</v>
      </c>
      <c r="AB10">
        <v>3455</v>
      </c>
      <c r="AC10" s="4">
        <v>46267</v>
      </c>
      <c r="AD10" t="s">
        <v>1287</v>
      </c>
      <c r="AE10" t="s">
        <v>1207</v>
      </c>
      <c r="AI10" t="s">
        <v>1261</v>
      </c>
      <c r="AJ10" t="s">
        <v>1262</v>
      </c>
      <c r="AK10">
        <v>1586202</v>
      </c>
      <c r="AM10" t="s">
        <v>1263</v>
      </c>
      <c r="AN10" t="s">
        <v>1288</v>
      </c>
      <c r="AO10" t="s">
        <v>1289</v>
      </c>
      <c r="AP10" s="5">
        <v>46267.324999999997</v>
      </c>
      <c r="AQ10" t="s">
        <v>1266</v>
      </c>
      <c r="AS10" t="s">
        <v>1268</v>
      </c>
      <c r="AT10" t="s">
        <v>1269</v>
      </c>
      <c r="AU10" t="s">
        <v>1270</v>
      </c>
    </row>
    <row r="11" spans="1:47" x14ac:dyDescent="0.25">
      <c r="A11" s="1" t="s">
        <v>1178</v>
      </c>
      <c r="B11" s="1" t="s">
        <v>1179</v>
      </c>
      <c r="C11" s="1" t="s">
        <v>1180</v>
      </c>
      <c r="D11" s="1" t="s">
        <v>1181</v>
      </c>
      <c r="E11" s="1" t="s">
        <v>38</v>
      </c>
      <c r="F11" s="1" t="s">
        <v>39</v>
      </c>
      <c r="G11" s="2">
        <v>-2700</v>
      </c>
      <c r="H11" s="2">
        <v>28503098.390000001</v>
      </c>
      <c r="I11" s="1" t="s">
        <v>40</v>
      </c>
      <c r="J11" s="1" t="s">
        <v>49</v>
      </c>
      <c r="K11" s="1" t="s">
        <v>1182</v>
      </c>
      <c r="L11" s="1" t="s">
        <v>39</v>
      </c>
      <c r="M11" s="1" t="s">
        <v>1183</v>
      </c>
      <c r="O11">
        <v>756756</v>
      </c>
      <c r="P11">
        <v>1625943</v>
      </c>
      <c r="Q11" t="s">
        <v>1319</v>
      </c>
      <c r="R11" t="s">
        <v>1320</v>
      </c>
      <c r="T11" t="s">
        <v>1259</v>
      </c>
      <c r="U11">
        <v>2700</v>
      </c>
      <c r="V11" s="8">
        <f>G11+U11</f>
        <v>0</v>
      </c>
      <c r="W11">
        <v>0</v>
      </c>
      <c r="X11">
        <v>40</v>
      </c>
      <c r="Y11">
        <v>0</v>
      </c>
      <c r="Z11">
        <v>0</v>
      </c>
      <c r="AA11">
        <v>0</v>
      </c>
      <c r="AB11">
        <v>1305.23</v>
      </c>
      <c r="AC11" s="4">
        <v>46267</v>
      </c>
      <c r="AD11" t="s">
        <v>1321</v>
      </c>
      <c r="AE11" t="s">
        <v>1178</v>
      </c>
      <c r="AH11" t="s">
        <v>1322</v>
      </c>
      <c r="AI11" t="s">
        <v>1261</v>
      </c>
      <c r="AJ11" t="s">
        <v>1262</v>
      </c>
      <c r="AK11">
        <v>485111</v>
      </c>
      <c r="AL11" t="s">
        <v>1322</v>
      </c>
      <c r="AM11" t="s">
        <v>1263</v>
      </c>
      <c r="AN11" t="s">
        <v>1323</v>
      </c>
      <c r="AO11">
        <v>6500090405</v>
      </c>
      <c r="AP11" s="5">
        <v>46267.402083333334</v>
      </c>
      <c r="AQ11" t="s">
        <v>1266</v>
      </c>
      <c r="AR11" t="s">
        <v>1293</v>
      </c>
      <c r="AS11" t="s">
        <v>1268</v>
      </c>
      <c r="AT11" t="s">
        <v>1269</v>
      </c>
      <c r="AU11" t="s">
        <v>1270</v>
      </c>
    </row>
    <row r="12" spans="1:47" x14ac:dyDescent="0.25">
      <c r="A12" s="1" t="s">
        <v>1201</v>
      </c>
      <c r="B12" s="1" t="s">
        <v>1202</v>
      </c>
      <c r="C12" s="1" t="s">
        <v>1202</v>
      </c>
      <c r="D12" s="1" t="s">
        <v>209</v>
      </c>
      <c r="E12" s="1" t="s">
        <v>38</v>
      </c>
      <c r="F12" s="1" t="s">
        <v>39</v>
      </c>
      <c r="G12" s="2">
        <v>-140</v>
      </c>
      <c r="H12" s="2">
        <v>28530867.390000001</v>
      </c>
      <c r="I12" s="1" t="s">
        <v>40</v>
      </c>
      <c r="J12" s="1" t="s">
        <v>41</v>
      </c>
      <c r="K12" s="1" t="s">
        <v>210</v>
      </c>
      <c r="L12" s="1" t="s">
        <v>39</v>
      </c>
      <c r="M12" s="1" t="s">
        <v>39</v>
      </c>
      <c r="O12">
        <v>756756</v>
      </c>
      <c r="P12">
        <v>254797413147</v>
      </c>
      <c r="Q12" t="s">
        <v>1294</v>
      </c>
      <c r="R12" t="s">
        <v>1286</v>
      </c>
      <c r="T12" t="s">
        <v>1259</v>
      </c>
      <c r="U12">
        <v>140</v>
      </c>
      <c r="V12" s="8">
        <f>G12+U12</f>
        <v>0</v>
      </c>
      <c r="W12">
        <v>0</v>
      </c>
      <c r="X12">
        <v>10</v>
      </c>
      <c r="Y12">
        <v>0</v>
      </c>
      <c r="Z12">
        <v>0</v>
      </c>
      <c r="AA12">
        <v>0</v>
      </c>
      <c r="AB12">
        <v>351</v>
      </c>
      <c r="AC12" s="4">
        <v>46267</v>
      </c>
      <c r="AD12" t="s">
        <v>1295</v>
      </c>
      <c r="AE12" t="s">
        <v>1201</v>
      </c>
      <c r="AI12" t="s">
        <v>1261</v>
      </c>
      <c r="AJ12" t="s">
        <v>1262</v>
      </c>
      <c r="AK12">
        <v>6721699</v>
      </c>
      <c r="AM12" t="s">
        <v>1263</v>
      </c>
      <c r="AN12" t="s">
        <v>1296</v>
      </c>
      <c r="AO12" t="s">
        <v>1296</v>
      </c>
      <c r="AP12" s="5">
        <v>46267.359722222223</v>
      </c>
      <c r="AQ12" t="s">
        <v>1266</v>
      </c>
      <c r="AR12" t="s">
        <v>1293</v>
      </c>
      <c r="AS12" t="s">
        <v>1268</v>
      </c>
      <c r="AT12" t="s">
        <v>1269</v>
      </c>
      <c r="AU12" t="s">
        <v>1270</v>
      </c>
    </row>
    <row r="13" spans="1:47" x14ac:dyDescent="0.25">
      <c r="A13" s="1" t="s">
        <v>1161</v>
      </c>
      <c r="B13" s="1" t="s">
        <v>1162</v>
      </c>
      <c r="C13" s="1" t="s">
        <v>1162</v>
      </c>
      <c r="D13" s="1" t="s">
        <v>1163</v>
      </c>
      <c r="E13" s="1" t="s">
        <v>38</v>
      </c>
      <c r="F13" s="1" t="s">
        <v>39</v>
      </c>
      <c r="G13" s="2">
        <v>-1500</v>
      </c>
      <c r="H13" s="2">
        <v>28478091.390000001</v>
      </c>
      <c r="I13" s="1" t="s">
        <v>40</v>
      </c>
      <c r="J13" s="1" t="s">
        <v>41</v>
      </c>
      <c r="K13" s="1" t="s">
        <v>1164</v>
      </c>
      <c r="L13" s="1" t="s">
        <v>39</v>
      </c>
      <c r="M13" s="1" t="s">
        <v>39</v>
      </c>
      <c r="O13">
        <v>756756</v>
      </c>
      <c r="P13">
        <v>254711592002</v>
      </c>
      <c r="Q13" t="s">
        <v>1336</v>
      </c>
      <c r="R13" t="s">
        <v>1286</v>
      </c>
      <c r="T13" t="s">
        <v>1259</v>
      </c>
      <c r="U13">
        <v>1500</v>
      </c>
      <c r="V13" s="8">
        <f>G13+U13</f>
        <v>0</v>
      </c>
      <c r="W13">
        <v>0</v>
      </c>
      <c r="X13">
        <v>10</v>
      </c>
      <c r="Y13">
        <v>0</v>
      </c>
      <c r="Z13">
        <v>0</v>
      </c>
      <c r="AA13">
        <v>0</v>
      </c>
      <c r="AB13">
        <v>11723</v>
      </c>
      <c r="AC13" s="4">
        <v>46267</v>
      </c>
      <c r="AD13" t="s">
        <v>1337</v>
      </c>
      <c r="AE13" t="s">
        <v>1161</v>
      </c>
      <c r="AI13" t="s">
        <v>1261</v>
      </c>
      <c r="AJ13" t="s">
        <v>1262</v>
      </c>
      <c r="AK13">
        <v>5555550</v>
      </c>
      <c r="AM13" t="s">
        <v>1263</v>
      </c>
      <c r="AN13" t="s">
        <v>1338</v>
      </c>
      <c r="AO13" t="s">
        <v>1338</v>
      </c>
      <c r="AP13" s="5">
        <v>46267.429166666669</v>
      </c>
      <c r="AQ13" t="s">
        <v>1266</v>
      </c>
      <c r="AR13" t="s">
        <v>1293</v>
      </c>
      <c r="AS13" t="s">
        <v>1268</v>
      </c>
      <c r="AT13" t="s">
        <v>1269</v>
      </c>
      <c r="AU13" t="s">
        <v>1270</v>
      </c>
    </row>
    <row r="14" spans="1:47" x14ac:dyDescent="0.25">
      <c r="A14" s="1" t="s">
        <v>1156</v>
      </c>
      <c r="B14" s="1" t="s">
        <v>1157</v>
      </c>
      <c r="C14" s="1" t="s">
        <v>1158</v>
      </c>
      <c r="D14" s="1" t="s">
        <v>1159</v>
      </c>
      <c r="E14" s="1" t="s">
        <v>38</v>
      </c>
      <c r="F14" s="1" t="s">
        <v>39</v>
      </c>
      <c r="G14" s="2">
        <v>-15900</v>
      </c>
      <c r="H14" s="2">
        <v>28462105.390000001</v>
      </c>
      <c r="I14" s="1" t="s">
        <v>40</v>
      </c>
      <c r="J14" s="1" t="s">
        <v>49</v>
      </c>
      <c r="K14" s="1" t="s">
        <v>220</v>
      </c>
      <c r="L14" s="1" t="s">
        <v>39</v>
      </c>
      <c r="M14" s="1" t="s">
        <v>1160</v>
      </c>
      <c r="P14">
        <v>1552342</v>
      </c>
      <c r="Q14" t="s">
        <v>1349</v>
      </c>
      <c r="R14" t="s">
        <v>1286</v>
      </c>
      <c r="T14" t="s">
        <v>1259</v>
      </c>
      <c r="U14">
        <v>15900</v>
      </c>
      <c r="V14" s="8">
        <f>G14+U14</f>
        <v>0</v>
      </c>
      <c r="W14">
        <v>0</v>
      </c>
      <c r="X14">
        <v>82</v>
      </c>
      <c r="Y14">
        <v>18</v>
      </c>
      <c r="Z14">
        <v>0</v>
      </c>
      <c r="AA14">
        <v>0</v>
      </c>
      <c r="AB14">
        <v>50</v>
      </c>
      <c r="AC14" s="4">
        <v>46267</v>
      </c>
      <c r="AD14" t="s">
        <v>1350</v>
      </c>
      <c r="AE14" t="s">
        <v>1156</v>
      </c>
      <c r="AH14" t="s">
        <v>1326</v>
      </c>
      <c r="AI14" t="s">
        <v>1261</v>
      </c>
      <c r="AJ14" t="s">
        <v>1262</v>
      </c>
      <c r="AK14">
        <v>1552342</v>
      </c>
      <c r="AL14" t="s">
        <v>1326</v>
      </c>
      <c r="AM14" t="s">
        <v>1263</v>
      </c>
      <c r="AN14" t="s">
        <v>1351</v>
      </c>
      <c r="AO14" t="s">
        <v>1352</v>
      </c>
      <c r="AP14" s="5">
        <v>46267.445833333331</v>
      </c>
      <c r="AQ14" t="s">
        <v>1266</v>
      </c>
      <c r="AS14" t="s">
        <v>1268</v>
      </c>
      <c r="AT14" t="s">
        <v>1269</v>
      </c>
      <c r="AU14" t="s">
        <v>1270</v>
      </c>
    </row>
    <row r="15" spans="1:47" x14ac:dyDescent="0.25">
      <c r="A15" s="1" t="s">
        <v>1196</v>
      </c>
      <c r="B15" s="1" t="s">
        <v>1197</v>
      </c>
      <c r="C15" s="1" t="s">
        <v>1197</v>
      </c>
      <c r="D15" s="1" t="s">
        <v>1198</v>
      </c>
      <c r="E15" s="1" t="s">
        <v>38</v>
      </c>
      <c r="F15" s="1" t="s">
        <v>39</v>
      </c>
      <c r="G15" s="2">
        <v>-7363</v>
      </c>
      <c r="H15" s="2">
        <v>28523496.390000001</v>
      </c>
      <c r="I15" s="1" t="s">
        <v>40</v>
      </c>
      <c r="J15" s="1" t="s">
        <v>49</v>
      </c>
      <c r="K15" s="1" t="s">
        <v>1199</v>
      </c>
      <c r="L15" s="1" t="s">
        <v>39</v>
      </c>
      <c r="M15" s="1" t="s">
        <v>1200</v>
      </c>
      <c r="P15">
        <v>293009</v>
      </c>
      <c r="Q15" t="s">
        <v>1301</v>
      </c>
      <c r="R15" t="s">
        <v>1257</v>
      </c>
      <c r="T15" t="s">
        <v>1259</v>
      </c>
      <c r="U15">
        <v>7363</v>
      </c>
      <c r="V15" s="8">
        <f>G15+U15</f>
        <v>0</v>
      </c>
      <c r="W15">
        <v>0</v>
      </c>
      <c r="X15">
        <v>57</v>
      </c>
      <c r="Y15">
        <v>0</v>
      </c>
      <c r="Z15">
        <v>0</v>
      </c>
      <c r="AA15">
        <v>0</v>
      </c>
      <c r="AB15">
        <v>389832</v>
      </c>
      <c r="AC15" s="4">
        <v>46267</v>
      </c>
      <c r="AD15" t="s">
        <v>1302</v>
      </c>
      <c r="AE15" t="s">
        <v>1196</v>
      </c>
      <c r="AH15" t="s">
        <v>1303</v>
      </c>
      <c r="AI15" t="s">
        <v>1261</v>
      </c>
      <c r="AJ15" t="s">
        <v>1262</v>
      </c>
      <c r="AK15">
        <v>293009</v>
      </c>
      <c r="AL15" t="s">
        <v>1303</v>
      </c>
      <c r="AM15" t="s">
        <v>1263</v>
      </c>
      <c r="AN15" t="s">
        <v>1304</v>
      </c>
      <c r="AO15" t="s">
        <v>1305</v>
      </c>
      <c r="AP15" s="5">
        <v>46267.37222222222</v>
      </c>
      <c r="AQ15" t="s">
        <v>1266</v>
      </c>
      <c r="AS15" t="s">
        <v>1268</v>
      </c>
      <c r="AT15" t="s">
        <v>1269</v>
      </c>
      <c r="AU15" t="s">
        <v>1270</v>
      </c>
    </row>
    <row r="16" spans="1:47" x14ac:dyDescent="0.25">
      <c r="A16" s="1" t="s">
        <v>1186</v>
      </c>
      <c r="B16" s="1" t="s">
        <v>1187</v>
      </c>
      <c r="C16" s="1" t="s">
        <v>1188</v>
      </c>
      <c r="D16" s="1" t="s">
        <v>1189</v>
      </c>
      <c r="E16" s="1" t="s">
        <v>38</v>
      </c>
      <c r="F16" s="1" t="s">
        <v>39</v>
      </c>
      <c r="G16" s="2">
        <v>-1500</v>
      </c>
      <c r="H16" s="2">
        <v>28515900.390000001</v>
      </c>
      <c r="I16" s="1" t="s">
        <v>40</v>
      </c>
      <c r="J16" s="1" t="s">
        <v>49</v>
      </c>
      <c r="K16" s="1" t="s">
        <v>1190</v>
      </c>
      <c r="L16" s="1" t="s">
        <v>39</v>
      </c>
      <c r="M16" s="1" t="s">
        <v>1191</v>
      </c>
      <c r="P16">
        <v>414936</v>
      </c>
      <c r="Q16" t="s">
        <v>1310</v>
      </c>
      <c r="R16" t="s">
        <v>1286</v>
      </c>
      <c r="T16" t="s">
        <v>1259</v>
      </c>
      <c r="U16">
        <v>1500</v>
      </c>
      <c r="V16" s="8">
        <f>G16+U16</f>
        <v>0</v>
      </c>
      <c r="W16">
        <v>0</v>
      </c>
      <c r="X16">
        <v>25</v>
      </c>
      <c r="Y16">
        <v>2</v>
      </c>
      <c r="Z16">
        <v>0</v>
      </c>
      <c r="AA16">
        <v>0</v>
      </c>
      <c r="AB16">
        <v>21326</v>
      </c>
      <c r="AC16" s="4">
        <v>46267</v>
      </c>
      <c r="AD16" t="s">
        <v>1311</v>
      </c>
      <c r="AE16" t="s">
        <v>1186</v>
      </c>
      <c r="AH16" t="s">
        <v>1312</v>
      </c>
      <c r="AI16" t="s">
        <v>1261</v>
      </c>
      <c r="AJ16" t="s">
        <v>1262</v>
      </c>
      <c r="AK16">
        <v>414936</v>
      </c>
      <c r="AL16" t="s">
        <v>1312</v>
      </c>
      <c r="AM16" t="s">
        <v>1263</v>
      </c>
      <c r="AN16" t="s">
        <v>1313</v>
      </c>
      <c r="AO16" t="s">
        <v>1314</v>
      </c>
      <c r="AP16" s="5">
        <v>46267.390972222223</v>
      </c>
      <c r="AQ16" t="s">
        <v>1266</v>
      </c>
      <c r="AS16" t="s">
        <v>1268</v>
      </c>
      <c r="AT16" t="s">
        <v>1269</v>
      </c>
      <c r="AU16" t="s">
        <v>1270</v>
      </c>
    </row>
    <row r="17" spans="1:47" x14ac:dyDescent="0.25">
      <c r="A17" s="1" t="s">
        <v>1165</v>
      </c>
      <c r="B17" s="1" t="s">
        <v>1166</v>
      </c>
      <c r="C17" s="1" t="s">
        <v>1166</v>
      </c>
      <c r="D17" s="1" t="s">
        <v>1167</v>
      </c>
      <c r="E17" s="1" t="s">
        <v>38</v>
      </c>
      <c r="F17" s="1" t="s">
        <v>39</v>
      </c>
      <c r="G17" s="2">
        <v>-22500</v>
      </c>
      <c r="H17" s="2">
        <v>28479665.390000001</v>
      </c>
      <c r="I17" s="1" t="s">
        <v>40</v>
      </c>
      <c r="J17" s="1" t="s">
        <v>49</v>
      </c>
      <c r="K17" s="1" t="s">
        <v>51</v>
      </c>
      <c r="L17" s="1" t="s">
        <v>39</v>
      </c>
      <c r="M17" s="1" t="s">
        <v>1168</v>
      </c>
      <c r="P17">
        <v>458445</v>
      </c>
      <c r="Q17" t="s">
        <v>1332</v>
      </c>
      <c r="R17" t="s">
        <v>1257</v>
      </c>
      <c r="S17" t="s">
        <v>1258</v>
      </c>
      <c r="T17" t="s">
        <v>1259</v>
      </c>
      <c r="U17">
        <v>22500</v>
      </c>
      <c r="V17" s="8">
        <f>G17+U17</f>
        <v>0</v>
      </c>
      <c r="W17">
        <v>0</v>
      </c>
      <c r="X17">
        <v>87</v>
      </c>
      <c r="Y17">
        <v>0</v>
      </c>
      <c r="Z17">
        <v>1</v>
      </c>
      <c r="AA17">
        <v>0</v>
      </c>
      <c r="AB17">
        <v>810922.68599999999</v>
      </c>
      <c r="AC17" s="4">
        <v>46267</v>
      </c>
      <c r="AD17" t="s">
        <v>1333</v>
      </c>
      <c r="AE17" t="s">
        <v>1165</v>
      </c>
      <c r="AH17" t="s">
        <v>1334</v>
      </c>
      <c r="AI17" t="s">
        <v>1261</v>
      </c>
      <c r="AJ17" t="s">
        <v>1262</v>
      </c>
      <c r="AK17">
        <v>714888</v>
      </c>
      <c r="AL17" t="s">
        <v>1334</v>
      </c>
      <c r="AM17" t="s">
        <v>1263</v>
      </c>
      <c r="AN17" t="s">
        <v>1335</v>
      </c>
      <c r="AO17">
        <v>18738</v>
      </c>
      <c r="AP17" s="5">
        <v>46267.427083333336</v>
      </c>
      <c r="AQ17" t="s">
        <v>1266</v>
      </c>
      <c r="AR17" t="s">
        <v>1267</v>
      </c>
      <c r="AS17" t="s">
        <v>1268</v>
      </c>
      <c r="AT17" t="s">
        <v>1269</v>
      </c>
      <c r="AU17" t="s">
        <v>1270</v>
      </c>
    </row>
    <row r="18" spans="1:47" x14ac:dyDescent="0.25">
      <c r="A18" s="1" t="s">
        <v>1152</v>
      </c>
      <c r="B18" s="1" t="s">
        <v>1153</v>
      </c>
      <c r="C18" s="1" t="s">
        <v>1153</v>
      </c>
      <c r="D18" s="1" t="s">
        <v>1154</v>
      </c>
      <c r="E18" s="1" t="s">
        <v>38</v>
      </c>
      <c r="F18" s="1" t="s">
        <v>39</v>
      </c>
      <c r="G18" s="2">
        <v>-60</v>
      </c>
      <c r="H18" s="2">
        <v>28462045.390000001</v>
      </c>
      <c r="I18" s="1" t="s">
        <v>40</v>
      </c>
      <c r="J18" s="1" t="s">
        <v>41</v>
      </c>
      <c r="K18" s="1" t="s">
        <v>1155</v>
      </c>
      <c r="L18" s="1" t="s">
        <v>39</v>
      </c>
      <c r="M18" s="1" t="s">
        <v>39</v>
      </c>
      <c r="P18">
        <v>1326697</v>
      </c>
      <c r="Q18" t="s">
        <v>1358</v>
      </c>
      <c r="R18" t="s">
        <v>1286</v>
      </c>
      <c r="T18" t="s">
        <v>1259</v>
      </c>
      <c r="U18">
        <v>60</v>
      </c>
      <c r="V18" s="8">
        <f>G18+U18</f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13461</v>
      </c>
      <c r="AC18" s="4">
        <v>46267</v>
      </c>
      <c r="AD18" t="s">
        <v>1359</v>
      </c>
      <c r="AE18" t="s">
        <v>1152</v>
      </c>
      <c r="AI18" t="s">
        <v>1261</v>
      </c>
      <c r="AJ18" t="s">
        <v>1262</v>
      </c>
      <c r="AK18">
        <v>1326697</v>
      </c>
      <c r="AM18" t="s">
        <v>1263</v>
      </c>
      <c r="AN18" t="s">
        <v>1360</v>
      </c>
      <c r="AO18" t="s">
        <v>1361</v>
      </c>
      <c r="AP18" s="5">
        <v>46267.456250000003</v>
      </c>
      <c r="AQ18" t="s">
        <v>1266</v>
      </c>
      <c r="AS18" t="s">
        <v>1268</v>
      </c>
      <c r="AT18" t="s">
        <v>1269</v>
      </c>
      <c r="AU18" t="s">
        <v>1270</v>
      </c>
    </row>
    <row r="19" spans="1:47" x14ac:dyDescent="0.25">
      <c r="A19" s="1" t="s">
        <v>1135</v>
      </c>
      <c r="B19" s="1" t="s">
        <v>1136</v>
      </c>
      <c r="C19" s="1" t="s">
        <v>1136</v>
      </c>
      <c r="D19" s="1" t="s">
        <v>1137</v>
      </c>
      <c r="E19" s="1" t="s">
        <v>38</v>
      </c>
      <c r="F19" s="1" t="s">
        <v>39</v>
      </c>
      <c r="G19" s="2">
        <v>-650</v>
      </c>
      <c r="H19" s="2">
        <v>28423646.390000001</v>
      </c>
      <c r="I19" s="1" t="s">
        <v>40</v>
      </c>
      <c r="J19" s="1" t="s">
        <v>41</v>
      </c>
      <c r="K19" s="1" t="s">
        <v>1138</v>
      </c>
      <c r="L19" s="1" t="s">
        <v>39</v>
      </c>
      <c r="M19" s="1" t="s">
        <v>39</v>
      </c>
      <c r="P19">
        <v>276585</v>
      </c>
      <c r="Q19" t="s">
        <v>1362</v>
      </c>
      <c r="R19" t="s">
        <v>1257</v>
      </c>
      <c r="S19" t="s">
        <v>1258</v>
      </c>
      <c r="T19" t="s">
        <v>1259</v>
      </c>
      <c r="U19">
        <v>650</v>
      </c>
      <c r="V19" s="8">
        <f>G19+U19</f>
        <v>0</v>
      </c>
      <c r="W19">
        <v>0</v>
      </c>
      <c r="X19">
        <v>10</v>
      </c>
      <c r="Y19">
        <v>0</v>
      </c>
      <c r="Z19">
        <v>1</v>
      </c>
      <c r="AA19">
        <v>0</v>
      </c>
      <c r="AB19">
        <v>13108.36</v>
      </c>
      <c r="AC19" s="4">
        <v>46267</v>
      </c>
      <c r="AD19" t="s">
        <v>1372</v>
      </c>
      <c r="AE19" t="s">
        <v>1135</v>
      </c>
      <c r="AI19" t="s">
        <v>1261</v>
      </c>
      <c r="AJ19" t="s">
        <v>1262</v>
      </c>
      <c r="AK19">
        <v>331711</v>
      </c>
      <c r="AM19" t="s">
        <v>1263</v>
      </c>
      <c r="AN19" t="s">
        <v>1373</v>
      </c>
      <c r="AO19" t="s">
        <v>1374</v>
      </c>
      <c r="AP19" s="5">
        <v>46267.459722222222</v>
      </c>
      <c r="AQ19" t="s">
        <v>1266</v>
      </c>
      <c r="AS19" t="s">
        <v>1268</v>
      </c>
      <c r="AT19" t="s">
        <v>1269</v>
      </c>
      <c r="AU19" t="s">
        <v>1270</v>
      </c>
    </row>
    <row r="20" spans="1:47" x14ac:dyDescent="0.25">
      <c r="A20" s="1" t="s">
        <v>1123</v>
      </c>
      <c r="B20" s="1" t="s">
        <v>1124</v>
      </c>
      <c r="C20" s="1" t="s">
        <v>1124</v>
      </c>
      <c r="D20" s="1" t="s">
        <v>1125</v>
      </c>
      <c r="E20" s="1" t="s">
        <v>38</v>
      </c>
      <c r="F20" s="1" t="s">
        <v>39</v>
      </c>
      <c r="G20" s="2">
        <v>-150</v>
      </c>
      <c r="H20" s="2">
        <v>28415825.390000001</v>
      </c>
      <c r="I20" s="1" t="s">
        <v>40</v>
      </c>
      <c r="J20" s="1" t="s">
        <v>41</v>
      </c>
      <c r="K20" s="1" t="s">
        <v>1126</v>
      </c>
      <c r="L20" s="1" t="s">
        <v>39</v>
      </c>
      <c r="M20" s="1" t="s">
        <v>39</v>
      </c>
      <c r="O20">
        <v>756756</v>
      </c>
      <c r="P20">
        <v>254708619405</v>
      </c>
      <c r="Q20" t="s">
        <v>1385</v>
      </c>
      <c r="R20" t="s">
        <v>1386</v>
      </c>
      <c r="T20" t="s">
        <v>1259</v>
      </c>
      <c r="U20">
        <v>150</v>
      </c>
      <c r="V20" s="8">
        <f>G20+U20</f>
        <v>0</v>
      </c>
      <c r="W20">
        <v>0</v>
      </c>
      <c r="X20">
        <v>10</v>
      </c>
      <c r="Y20">
        <v>0</v>
      </c>
      <c r="Z20">
        <v>0</v>
      </c>
      <c r="AA20">
        <v>0</v>
      </c>
      <c r="AB20">
        <v>1272</v>
      </c>
      <c r="AC20" s="4">
        <v>46267</v>
      </c>
      <c r="AD20" t="s">
        <v>1387</v>
      </c>
      <c r="AE20" t="s">
        <v>1123</v>
      </c>
      <c r="AI20" t="s">
        <v>1261</v>
      </c>
      <c r="AJ20" t="s">
        <v>1262</v>
      </c>
      <c r="AK20">
        <v>9981521</v>
      </c>
      <c r="AM20" t="s">
        <v>1263</v>
      </c>
      <c r="AN20" t="s">
        <v>1388</v>
      </c>
      <c r="AO20" t="s">
        <v>1388</v>
      </c>
      <c r="AP20" s="5">
        <v>46267.48333333333</v>
      </c>
      <c r="AQ20" t="s">
        <v>1266</v>
      </c>
      <c r="AR20" t="s">
        <v>1293</v>
      </c>
      <c r="AS20" t="s">
        <v>1268</v>
      </c>
      <c r="AT20" t="s">
        <v>1269</v>
      </c>
      <c r="AU20" t="s">
        <v>1270</v>
      </c>
    </row>
    <row r="21" spans="1:47" x14ac:dyDescent="0.25">
      <c r="A21" s="1" t="s">
        <v>1119</v>
      </c>
      <c r="B21" s="1" t="s">
        <v>1120</v>
      </c>
      <c r="C21" s="1" t="s">
        <v>1120</v>
      </c>
      <c r="D21" s="1" t="s">
        <v>1121</v>
      </c>
      <c r="E21" s="1" t="s">
        <v>38</v>
      </c>
      <c r="F21" s="1" t="s">
        <v>39</v>
      </c>
      <c r="G21" s="2">
        <v>-100</v>
      </c>
      <c r="H21" s="2">
        <v>28415717.390000001</v>
      </c>
      <c r="I21" s="1" t="s">
        <v>40</v>
      </c>
      <c r="J21" s="1" t="s">
        <v>41</v>
      </c>
      <c r="K21" s="1" t="s">
        <v>1122</v>
      </c>
      <c r="L21" s="1" t="s">
        <v>39</v>
      </c>
      <c r="M21" s="1" t="s">
        <v>39</v>
      </c>
      <c r="O21">
        <v>756756</v>
      </c>
      <c r="P21">
        <v>205756</v>
      </c>
      <c r="Q21" t="s">
        <v>1389</v>
      </c>
      <c r="R21" t="s">
        <v>1320</v>
      </c>
      <c r="T21" t="s">
        <v>1259</v>
      </c>
      <c r="U21">
        <v>100</v>
      </c>
      <c r="V21" s="8">
        <f>G21+U21</f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364.59</v>
      </c>
      <c r="AC21" s="4">
        <v>46267</v>
      </c>
      <c r="AD21" t="s">
        <v>1390</v>
      </c>
      <c r="AE21" t="s">
        <v>1119</v>
      </c>
      <c r="AI21" t="s">
        <v>1261</v>
      </c>
      <c r="AJ21" t="s">
        <v>1262</v>
      </c>
      <c r="AK21">
        <v>5047675</v>
      </c>
      <c r="AM21" t="s">
        <v>1263</v>
      </c>
      <c r="AN21" t="s">
        <v>1391</v>
      </c>
      <c r="AO21" t="s">
        <v>1391</v>
      </c>
      <c r="AP21" s="5">
        <v>46267.488194444442</v>
      </c>
      <c r="AQ21" t="s">
        <v>1266</v>
      </c>
      <c r="AR21" t="s">
        <v>1293</v>
      </c>
      <c r="AS21" t="s">
        <v>1268</v>
      </c>
      <c r="AT21" t="s">
        <v>1269</v>
      </c>
      <c r="AU21" t="s">
        <v>1270</v>
      </c>
    </row>
    <row r="22" spans="1:47" x14ac:dyDescent="0.25">
      <c r="A22" s="1" t="s">
        <v>1087</v>
      </c>
      <c r="B22" s="1" t="s">
        <v>1088</v>
      </c>
      <c r="C22" s="1" t="s">
        <v>1089</v>
      </c>
      <c r="D22" s="1" t="s">
        <v>1090</v>
      </c>
      <c r="E22" s="1" t="s">
        <v>38</v>
      </c>
      <c r="F22" s="1" t="s">
        <v>39</v>
      </c>
      <c r="G22" s="2">
        <v>-20000</v>
      </c>
      <c r="H22" s="2">
        <v>28300870.390000001</v>
      </c>
      <c r="I22" s="1" t="s">
        <v>40</v>
      </c>
      <c r="J22" s="1" t="s">
        <v>49</v>
      </c>
      <c r="K22" s="1" t="s">
        <v>1091</v>
      </c>
      <c r="L22" s="1" t="s">
        <v>39</v>
      </c>
      <c r="M22" s="1" t="s">
        <v>1092</v>
      </c>
      <c r="P22">
        <v>110311</v>
      </c>
      <c r="Q22" t="s">
        <v>1415</v>
      </c>
      <c r="R22" t="s">
        <v>1416</v>
      </c>
      <c r="S22" t="s">
        <v>1258</v>
      </c>
      <c r="T22" t="s">
        <v>1259</v>
      </c>
      <c r="U22">
        <v>20000</v>
      </c>
      <c r="V22" s="8">
        <f>G22+U22</f>
        <v>0</v>
      </c>
      <c r="W22">
        <v>0</v>
      </c>
      <c r="X22">
        <v>80</v>
      </c>
      <c r="Y22">
        <v>0</v>
      </c>
      <c r="Z22">
        <v>1</v>
      </c>
      <c r="AA22">
        <v>0</v>
      </c>
      <c r="AB22">
        <v>828713</v>
      </c>
      <c r="AC22" s="4">
        <v>46267</v>
      </c>
      <c r="AD22" t="s">
        <v>1417</v>
      </c>
      <c r="AE22" t="s">
        <v>1087</v>
      </c>
      <c r="AH22" t="s">
        <v>1418</v>
      </c>
      <c r="AI22" t="s">
        <v>1261</v>
      </c>
      <c r="AJ22" t="s">
        <v>1262</v>
      </c>
      <c r="AK22">
        <v>910200</v>
      </c>
      <c r="AL22" t="s">
        <v>1418</v>
      </c>
      <c r="AM22" t="s">
        <v>1263</v>
      </c>
      <c r="AN22" t="s">
        <v>1419</v>
      </c>
      <c r="AO22">
        <v>2210003653</v>
      </c>
      <c r="AP22" s="5">
        <v>46267.515277777777</v>
      </c>
      <c r="AQ22" t="s">
        <v>1266</v>
      </c>
      <c r="AS22" t="s">
        <v>1268</v>
      </c>
      <c r="AT22" t="s">
        <v>1269</v>
      </c>
      <c r="AU22" t="s">
        <v>1270</v>
      </c>
    </row>
    <row r="23" spans="1:47" x14ac:dyDescent="0.25">
      <c r="A23" s="1" t="s">
        <v>1037</v>
      </c>
      <c r="B23" s="1" t="s">
        <v>1029</v>
      </c>
      <c r="C23" s="1" t="s">
        <v>1029</v>
      </c>
      <c r="D23" s="1" t="s">
        <v>1038</v>
      </c>
      <c r="E23" s="1" t="s">
        <v>38</v>
      </c>
      <c r="F23" s="1" t="s">
        <v>39</v>
      </c>
      <c r="G23" s="2">
        <v>-3288</v>
      </c>
      <c r="H23" s="2">
        <v>28087883.390000001</v>
      </c>
      <c r="I23" s="1" t="s">
        <v>40</v>
      </c>
      <c r="J23" s="1" t="s">
        <v>49</v>
      </c>
      <c r="K23" s="1" t="s">
        <v>1013</v>
      </c>
      <c r="L23" s="1" t="s">
        <v>39</v>
      </c>
      <c r="M23" s="1" t="s">
        <v>1039</v>
      </c>
      <c r="P23">
        <v>9235</v>
      </c>
      <c r="Q23" t="s">
        <v>1424</v>
      </c>
      <c r="R23" t="s">
        <v>1257</v>
      </c>
      <c r="S23" t="s">
        <v>1258</v>
      </c>
      <c r="T23" t="s">
        <v>1259</v>
      </c>
      <c r="U23">
        <v>3288</v>
      </c>
      <c r="V23" s="8">
        <f>G23+U23</f>
        <v>0</v>
      </c>
      <c r="W23">
        <v>0</v>
      </c>
      <c r="X23">
        <v>40</v>
      </c>
      <c r="Y23">
        <v>0</v>
      </c>
      <c r="Z23">
        <v>1</v>
      </c>
      <c r="AA23">
        <v>0</v>
      </c>
      <c r="AB23">
        <v>111280.4</v>
      </c>
      <c r="AC23" s="4">
        <v>46267</v>
      </c>
      <c r="AD23" t="s">
        <v>1469</v>
      </c>
      <c r="AE23" t="s">
        <v>1037</v>
      </c>
      <c r="AH23" t="s">
        <v>1426</v>
      </c>
      <c r="AI23" t="s">
        <v>1261</v>
      </c>
      <c r="AJ23" t="s">
        <v>1262</v>
      </c>
      <c r="AK23">
        <v>639498</v>
      </c>
      <c r="AL23" t="s">
        <v>1426</v>
      </c>
      <c r="AM23" t="s">
        <v>1263</v>
      </c>
      <c r="AN23" t="s">
        <v>1470</v>
      </c>
      <c r="AO23" t="s">
        <v>1471</v>
      </c>
      <c r="AP23" s="5">
        <v>46267.518750000003</v>
      </c>
      <c r="AQ23" t="s">
        <v>1266</v>
      </c>
      <c r="AR23" t="s">
        <v>1267</v>
      </c>
      <c r="AS23" t="s">
        <v>1268</v>
      </c>
      <c r="AT23" t="s">
        <v>1269</v>
      </c>
      <c r="AU23" t="s">
        <v>1270</v>
      </c>
    </row>
    <row r="24" spans="1:47" x14ac:dyDescent="0.25">
      <c r="A24" s="1" t="s">
        <v>1025</v>
      </c>
      <c r="B24" s="1" t="s">
        <v>1019</v>
      </c>
      <c r="C24" s="1" t="s">
        <v>1019</v>
      </c>
      <c r="D24" s="1" t="s">
        <v>1026</v>
      </c>
      <c r="E24" s="1" t="s">
        <v>38</v>
      </c>
      <c r="F24" s="1" t="s">
        <v>39</v>
      </c>
      <c r="G24" s="2">
        <v>-372</v>
      </c>
      <c r="H24" s="2">
        <v>28048178.390000001</v>
      </c>
      <c r="I24" s="1" t="s">
        <v>40</v>
      </c>
      <c r="J24" s="1" t="s">
        <v>49</v>
      </c>
      <c r="K24" s="1" t="s">
        <v>1013</v>
      </c>
      <c r="L24" s="1" t="s">
        <v>39</v>
      </c>
      <c r="M24" s="1" t="s">
        <v>1027</v>
      </c>
      <c r="P24">
        <v>9235</v>
      </c>
      <c r="Q24" t="s">
        <v>1424</v>
      </c>
      <c r="R24" t="s">
        <v>1257</v>
      </c>
      <c r="S24" t="s">
        <v>1258</v>
      </c>
      <c r="T24" t="s">
        <v>1259</v>
      </c>
      <c r="U24">
        <v>372</v>
      </c>
      <c r="V24" s="8">
        <f>G24+U24</f>
        <v>0</v>
      </c>
      <c r="W24">
        <v>0</v>
      </c>
      <c r="X24">
        <v>10</v>
      </c>
      <c r="Y24">
        <v>0</v>
      </c>
      <c r="Z24">
        <v>1</v>
      </c>
      <c r="AA24">
        <v>0</v>
      </c>
      <c r="AB24">
        <v>63629.599999999999</v>
      </c>
      <c r="AC24" s="4">
        <v>46267</v>
      </c>
      <c r="AD24" t="s">
        <v>1475</v>
      </c>
      <c r="AE24" t="s">
        <v>1025</v>
      </c>
      <c r="AH24" t="s">
        <v>1426</v>
      </c>
      <c r="AI24" t="s">
        <v>1261</v>
      </c>
      <c r="AJ24" t="s">
        <v>1262</v>
      </c>
      <c r="AK24">
        <v>639498</v>
      </c>
      <c r="AL24" t="s">
        <v>1426</v>
      </c>
      <c r="AM24" t="s">
        <v>1263</v>
      </c>
      <c r="AN24" t="s">
        <v>1476</v>
      </c>
      <c r="AO24" t="s">
        <v>1477</v>
      </c>
      <c r="AP24" s="5">
        <v>46267.518750000003</v>
      </c>
      <c r="AQ24" t="s">
        <v>1266</v>
      </c>
      <c r="AR24" t="s">
        <v>1267</v>
      </c>
      <c r="AS24" t="s">
        <v>1268</v>
      </c>
      <c r="AT24" t="s">
        <v>1269</v>
      </c>
      <c r="AU24" t="s">
        <v>1270</v>
      </c>
    </row>
    <row r="25" spans="1:47" x14ac:dyDescent="0.25">
      <c r="A25" s="1" t="s">
        <v>1010</v>
      </c>
      <c r="B25" s="1" t="s">
        <v>1011</v>
      </c>
      <c r="C25" s="1" t="s">
        <v>1011</v>
      </c>
      <c r="D25" s="1" t="s">
        <v>1012</v>
      </c>
      <c r="E25" s="1" t="s">
        <v>38</v>
      </c>
      <c r="F25" s="1" t="s">
        <v>39</v>
      </c>
      <c r="G25" s="2">
        <v>-2763</v>
      </c>
      <c r="H25" s="2">
        <v>28021948.390000001</v>
      </c>
      <c r="I25" s="1" t="s">
        <v>40</v>
      </c>
      <c r="J25" s="1" t="s">
        <v>49</v>
      </c>
      <c r="K25" s="1" t="s">
        <v>1013</v>
      </c>
      <c r="L25" s="1" t="s">
        <v>39</v>
      </c>
      <c r="M25" s="1" t="s">
        <v>1014</v>
      </c>
      <c r="P25">
        <v>9235</v>
      </c>
      <c r="Q25" t="s">
        <v>1424</v>
      </c>
      <c r="R25" t="s">
        <v>1257</v>
      </c>
      <c r="S25" t="s">
        <v>1258</v>
      </c>
      <c r="T25" t="s">
        <v>1259</v>
      </c>
      <c r="U25">
        <v>2763</v>
      </c>
      <c r="V25" s="8">
        <f>G25+U25</f>
        <v>0</v>
      </c>
      <c r="W25">
        <v>0</v>
      </c>
      <c r="X25">
        <v>40</v>
      </c>
      <c r="Y25">
        <v>0</v>
      </c>
      <c r="Z25">
        <v>1</v>
      </c>
      <c r="AA25">
        <v>0</v>
      </c>
      <c r="AB25">
        <v>31245.599999999999</v>
      </c>
      <c r="AC25" s="4">
        <v>46267</v>
      </c>
      <c r="AD25" t="s">
        <v>1487</v>
      </c>
      <c r="AE25" t="s">
        <v>1010</v>
      </c>
      <c r="AH25" t="s">
        <v>1426</v>
      </c>
      <c r="AI25" t="s">
        <v>1261</v>
      </c>
      <c r="AJ25" t="s">
        <v>1262</v>
      </c>
      <c r="AK25">
        <v>639498</v>
      </c>
      <c r="AL25" t="s">
        <v>1426</v>
      </c>
      <c r="AM25" t="s">
        <v>1263</v>
      </c>
      <c r="AN25" t="s">
        <v>1488</v>
      </c>
      <c r="AO25" t="s">
        <v>1489</v>
      </c>
      <c r="AP25" s="5">
        <v>46267.518750000003</v>
      </c>
      <c r="AQ25" t="s">
        <v>1266</v>
      </c>
      <c r="AR25" t="s">
        <v>1267</v>
      </c>
      <c r="AS25" t="s">
        <v>1268</v>
      </c>
      <c r="AT25" t="s">
        <v>1269</v>
      </c>
      <c r="AU25" t="s">
        <v>1270</v>
      </c>
    </row>
    <row r="26" spans="1:47" x14ac:dyDescent="0.25">
      <c r="A26" s="1" t="s">
        <v>1002</v>
      </c>
      <c r="B26" s="1" t="s">
        <v>1003</v>
      </c>
      <c r="C26" s="1" t="s">
        <v>1003</v>
      </c>
      <c r="D26" s="1" t="s">
        <v>1004</v>
      </c>
      <c r="E26" s="1" t="s">
        <v>38</v>
      </c>
      <c r="F26" s="1" t="s">
        <v>39</v>
      </c>
      <c r="G26" s="2">
        <v>-5920</v>
      </c>
      <c r="H26" s="2">
        <v>28000630.390000001</v>
      </c>
      <c r="I26" s="1" t="s">
        <v>40</v>
      </c>
      <c r="J26" s="1" t="s">
        <v>41</v>
      </c>
      <c r="K26" s="1" t="s">
        <v>1005</v>
      </c>
      <c r="L26" s="1" t="s">
        <v>39</v>
      </c>
      <c r="M26" s="1" t="s">
        <v>39</v>
      </c>
      <c r="P26">
        <v>1483</v>
      </c>
      <c r="Q26" t="s">
        <v>1494</v>
      </c>
      <c r="R26" t="s">
        <v>1257</v>
      </c>
      <c r="S26" t="s">
        <v>1258</v>
      </c>
      <c r="T26" t="s">
        <v>1259</v>
      </c>
      <c r="U26">
        <v>5920</v>
      </c>
      <c r="V26" s="8">
        <f>G26+U26</f>
        <v>0</v>
      </c>
      <c r="W26">
        <v>0</v>
      </c>
      <c r="X26">
        <v>15</v>
      </c>
      <c r="Y26">
        <v>0</v>
      </c>
      <c r="Z26">
        <v>1</v>
      </c>
      <c r="AA26">
        <v>0</v>
      </c>
      <c r="AB26">
        <v>19695.578000000001</v>
      </c>
      <c r="AC26" s="4">
        <v>46267</v>
      </c>
      <c r="AD26" t="s">
        <v>1495</v>
      </c>
      <c r="AE26" t="s">
        <v>1002</v>
      </c>
      <c r="AI26" t="s">
        <v>1261</v>
      </c>
      <c r="AJ26" t="s">
        <v>1262</v>
      </c>
      <c r="AK26">
        <v>5228737</v>
      </c>
      <c r="AM26" t="s">
        <v>1263</v>
      </c>
      <c r="AN26" t="s">
        <v>1496</v>
      </c>
      <c r="AO26" t="s">
        <v>1497</v>
      </c>
      <c r="AP26" s="5">
        <v>46267.522916666669</v>
      </c>
      <c r="AQ26" t="s">
        <v>1266</v>
      </c>
      <c r="AS26" t="s">
        <v>1268</v>
      </c>
      <c r="AT26" t="s">
        <v>1269</v>
      </c>
      <c r="AU26" t="s">
        <v>1270</v>
      </c>
    </row>
    <row r="27" spans="1:47" x14ac:dyDescent="0.25">
      <c r="A27" s="1" t="s">
        <v>1174</v>
      </c>
      <c r="B27" s="1" t="s">
        <v>1175</v>
      </c>
      <c r="C27" s="1" t="s">
        <v>1175</v>
      </c>
      <c r="D27" s="1" t="s">
        <v>1176</v>
      </c>
      <c r="E27" s="1" t="s">
        <v>38</v>
      </c>
      <c r="F27" s="1" t="s">
        <v>39</v>
      </c>
      <c r="G27" s="2">
        <v>-900</v>
      </c>
      <c r="H27" s="2">
        <v>28502198.390000001</v>
      </c>
      <c r="I27" s="1" t="s">
        <v>40</v>
      </c>
      <c r="J27" s="1" t="s">
        <v>49</v>
      </c>
      <c r="K27" s="1" t="s">
        <v>220</v>
      </c>
      <c r="L27" s="1" t="s">
        <v>39</v>
      </c>
      <c r="M27" s="1" t="s">
        <v>1177</v>
      </c>
      <c r="P27">
        <v>1484</v>
      </c>
      <c r="Q27" t="s">
        <v>1324</v>
      </c>
      <c r="R27" t="s">
        <v>1257</v>
      </c>
      <c r="S27" t="s">
        <v>1258</v>
      </c>
      <c r="T27" t="s">
        <v>1259</v>
      </c>
      <c r="U27">
        <v>900</v>
      </c>
      <c r="V27" s="8">
        <f>G27+U27</f>
        <v>0</v>
      </c>
      <c r="W27">
        <v>0</v>
      </c>
      <c r="X27">
        <v>20</v>
      </c>
      <c r="Y27">
        <v>0</v>
      </c>
      <c r="Z27">
        <v>1</v>
      </c>
      <c r="AA27">
        <v>0</v>
      </c>
      <c r="AB27">
        <v>1328.674</v>
      </c>
      <c r="AC27" s="4">
        <v>46267</v>
      </c>
      <c r="AD27" t="s">
        <v>1325</v>
      </c>
      <c r="AE27" t="s">
        <v>1174</v>
      </c>
      <c r="AH27" t="s">
        <v>1326</v>
      </c>
      <c r="AI27" t="s">
        <v>1261</v>
      </c>
      <c r="AJ27" t="s">
        <v>1262</v>
      </c>
      <c r="AK27">
        <v>247247</v>
      </c>
      <c r="AL27" t="s">
        <v>1326</v>
      </c>
      <c r="AM27" t="s">
        <v>1263</v>
      </c>
      <c r="AN27" t="s">
        <v>1327</v>
      </c>
      <c r="AO27">
        <v>116700</v>
      </c>
      <c r="AP27" s="5">
        <v>46267.405555555553</v>
      </c>
      <c r="AQ27" t="s">
        <v>1266</v>
      </c>
      <c r="AS27" t="s">
        <v>1268</v>
      </c>
      <c r="AT27" t="s">
        <v>1269</v>
      </c>
      <c r="AU27" t="s">
        <v>1270</v>
      </c>
    </row>
    <row r="28" spans="1:47" x14ac:dyDescent="0.25">
      <c r="A28" s="1" t="s">
        <v>1148</v>
      </c>
      <c r="B28" s="1" t="s">
        <v>1149</v>
      </c>
      <c r="C28" s="1" t="s">
        <v>1149</v>
      </c>
      <c r="D28" s="1" t="s">
        <v>1150</v>
      </c>
      <c r="E28" s="1" t="s">
        <v>38</v>
      </c>
      <c r="F28" s="1" t="s">
        <v>39</v>
      </c>
      <c r="G28" s="2">
        <v>-9450</v>
      </c>
      <c r="H28" s="2">
        <v>28452592.390000001</v>
      </c>
      <c r="I28" s="1" t="s">
        <v>40</v>
      </c>
      <c r="J28" s="1" t="s">
        <v>41</v>
      </c>
      <c r="K28" s="1" t="s">
        <v>1151</v>
      </c>
      <c r="L28" s="1" t="s">
        <v>39</v>
      </c>
      <c r="M28" s="1" t="s">
        <v>39</v>
      </c>
      <c r="P28">
        <v>276585</v>
      </c>
      <c r="Q28" t="s">
        <v>1362</v>
      </c>
      <c r="R28" t="s">
        <v>1257</v>
      </c>
      <c r="S28" t="s">
        <v>1258</v>
      </c>
      <c r="T28" t="s">
        <v>1259</v>
      </c>
      <c r="U28">
        <v>9450</v>
      </c>
      <c r="V28" s="8">
        <f>G28+U28</f>
        <v>0</v>
      </c>
      <c r="W28">
        <v>0</v>
      </c>
      <c r="X28">
        <v>15</v>
      </c>
      <c r="Y28">
        <v>0</v>
      </c>
      <c r="Z28">
        <v>1</v>
      </c>
      <c r="AA28">
        <v>0</v>
      </c>
      <c r="AB28">
        <v>23525.360000000001</v>
      </c>
      <c r="AC28" s="4">
        <v>46267</v>
      </c>
      <c r="AD28" t="s">
        <v>1363</v>
      </c>
      <c r="AE28" t="s">
        <v>1148</v>
      </c>
      <c r="AI28" t="s">
        <v>1261</v>
      </c>
      <c r="AJ28" t="s">
        <v>1262</v>
      </c>
      <c r="AK28">
        <v>3586381</v>
      </c>
      <c r="AM28" t="s">
        <v>1263</v>
      </c>
      <c r="AN28" t="s">
        <v>1364</v>
      </c>
      <c r="AO28" t="s">
        <v>1365</v>
      </c>
      <c r="AP28" s="5">
        <v>46267.456944444442</v>
      </c>
      <c r="AQ28" t="s">
        <v>1266</v>
      </c>
      <c r="AS28" t="s">
        <v>1268</v>
      </c>
      <c r="AT28" t="s">
        <v>1269</v>
      </c>
      <c r="AU28" t="s">
        <v>1270</v>
      </c>
    </row>
    <row r="29" spans="1:47" x14ac:dyDescent="0.25">
      <c r="A29" s="1" t="s">
        <v>1139</v>
      </c>
      <c r="B29" s="1" t="s">
        <v>1140</v>
      </c>
      <c r="C29" s="1" t="s">
        <v>1140</v>
      </c>
      <c r="D29" s="1" t="s">
        <v>1141</v>
      </c>
      <c r="E29" s="1" t="s">
        <v>38</v>
      </c>
      <c r="F29" s="1" t="s">
        <v>39</v>
      </c>
      <c r="G29" s="2">
        <v>-20000</v>
      </c>
      <c r="H29" s="2">
        <v>28424364.390000001</v>
      </c>
      <c r="I29" s="1" t="s">
        <v>40</v>
      </c>
      <c r="J29" s="1" t="s">
        <v>49</v>
      </c>
      <c r="K29" s="1" t="s">
        <v>1142</v>
      </c>
      <c r="L29" s="1" t="s">
        <v>39</v>
      </c>
      <c r="M29" s="1" t="s">
        <v>1143</v>
      </c>
      <c r="P29">
        <v>458445</v>
      </c>
      <c r="Q29" t="s">
        <v>1332</v>
      </c>
      <c r="R29" t="s">
        <v>1257</v>
      </c>
      <c r="S29" t="s">
        <v>1258</v>
      </c>
      <c r="T29" t="s">
        <v>1259</v>
      </c>
      <c r="U29">
        <v>20000</v>
      </c>
      <c r="V29" s="8">
        <f>G29+U29</f>
        <v>0</v>
      </c>
      <c r="W29">
        <v>0</v>
      </c>
      <c r="X29">
        <v>82</v>
      </c>
      <c r="Y29">
        <v>0</v>
      </c>
      <c r="Z29">
        <v>1</v>
      </c>
      <c r="AA29">
        <v>0</v>
      </c>
      <c r="AB29">
        <v>761775.68599999999</v>
      </c>
      <c r="AC29" s="4">
        <v>46267</v>
      </c>
      <c r="AD29" t="s">
        <v>1369</v>
      </c>
      <c r="AE29" t="s">
        <v>1139</v>
      </c>
      <c r="AH29" t="s">
        <v>1370</v>
      </c>
      <c r="AI29" t="s">
        <v>1261</v>
      </c>
      <c r="AJ29" t="s">
        <v>1262</v>
      </c>
      <c r="AK29">
        <v>525900</v>
      </c>
      <c r="AL29" t="s">
        <v>1370</v>
      </c>
      <c r="AM29" t="s">
        <v>1263</v>
      </c>
      <c r="AN29" t="s">
        <v>1371</v>
      </c>
      <c r="AO29" t="s">
        <v>1143</v>
      </c>
      <c r="AP29" s="5">
        <v>46267.458333333336</v>
      </c>
      <c r="AQ29" t="s">
        <v>1266</v>
      </c>
      <c r="AS29" t="s">
        <v>1268</v>
      </c>
      <c r="AT29" t="s">
        <v>1269</v>
      </c>
      <c r="AU29" t="s">
        <v>1270</v>
      </c>
    </row>
    <row r="30" spans="1:47" x14ac:dyDescent="0.25">
      <c r="A30" s="1" t="s">
        <v>1107</v>
      </c>
      <c r="B30" s="1" t="s">
        <v>1108</v>
      </c>
      <c r="C30" s="1" t="s">
        <v>1108</v>
      </c>
      <c r="D30" s="1" t="s">
        <v>1109</v>
      </c>
      <c r="E30" s="1" t="s">
        <v>38</v>
      </c>
      <c r="F30" s="1" t="s">
        <v>39</v>
      </c>
      <c r="G30" s="2">
        <v>-675</v>
      </c>
      <c r="H30" s="2">
        <v>28364601.390000001</v>
      </c>
      <c r="I30" s="1" t="s">
        <v>40</v>
      </c>
      <c r="J30" s="1" t="s">
        <v>41</v>
      </c>
      <c r="K30" s="1" t="s">
        <v>1110</v>
      </c>
      <c r="L30" s="1" t="s">
        <v>39</v>
      </c>
      <c r="M30" s="1" t="s">
        <v>39</v>
      </c>
      <c r="P30">
        <v>1606341</v>
      </c>
      <c r="Q30" t="s">
        <v>1401</v>
      </c>
      <c r="R30" t="s">
        <v>1286</v>
      </c>
      <c r="T30" t="s">
        <v>1259</v>
      </c>
      <c r="U30">
        <v>675</v>
      </c>
      <c r="V30" s="8">
        <f>G30+U30</f>
        <v>0</v>
      </c>
      <c r="W30">
        <v>0</v>
      </c>
      <c r="X30">
        <v>10</v>
      </c>
      <c r="Y30">
        <v>2</v>
      </c>
      <c r="Z30">
        <v>0</v>
      </c>
      <c r="AA30">
        <v>0</v>
      </c>
      <c r="AB30">
        <v>312</v>
      </c>
      <c r="AC30" s="4">
        <v>46267</v>
      </c>
      <c r="AD30" t="s">
        <v>1402</v>
      </c>
      <c r="AE30" t="s">
        <v>1107</v>
      </c>
      <c r="AI30" t="s">
        <v>1261</v>
      </c>
      <c r="AJ30" t="s">
        <v>1262</v>
      </c>
      <c r="AK30">
        <v>1606341</v>
      </c>
      <c r="AM30" t="s">
        <v>1263</v>
      </c>
      <c r="AN30" t="s">
        <v>1403</v>
      </c>
      <c r="AO30" t="s">
        <v>1404</v>
      </c>
      <c r="AP30" s="5">
        <v>46267.491666666669</v>
      </c>
      <c r="AQ30" t="s">
        <v>1266</v>
      </c>
      <c r="AS30" t="s">
        <v>1268</v>
      </c>
      <c r="AT30" t="s">
        <v>1269</v>
      </c>
      <c r="AU30" t="s">
        <v>1270</v>
      </c>
    </row>
    <row r="31" spans="1:47" x14ac:dyDescent="0.25">
      <c r="A31" s="1" t="s">
        <v>1093</v>
      </c>
      <c r="B31" s="1" t="s">
        <v>1094</v>
      </c>
      <c r="C31" s="1" t="s">
        <v>1094</v>
      </c>
      <c r="D31" s="1" t="s">
        <v>1095</v>
      </c>
      <c r="E31" s="1" t="s">
        <v>38</v>
      </c>
      <c r="F31" s="1" t="s">
        <v>39</v>
      </c>
      <c r="G31" s="2">
        <v>-500</v>
      </c>
      <c r="H31" s="2">
        <v>28320946.390000001</v>
      </c>
      <c r="I31" s="1" t="s">
        <v>40</v>
      </c>
      <c r="J31" s="1" t="s">
        <v>41</v>
      </c>
      <c r="K31" s="1" t="s">
        <v>1096</v>
      </c>
      <c r="L31" s="1" t="s">
        <v>39</v>
      </c>
      <c r="M31" s="1" t="s">
        <v>39</v>
      </c>
      <c r="O31">
        <v>756756</v>
      </c>
      <c r="P31">
        <v>1116456</v>
      </c>
      <c r="Q31" t="s">
        <v>1412</v>
      </c>
      <c r="R31" t="s">
        <v>1320</v>
      </c>
      <c r="T31" t="s">
        <v>1259</v>
      </c>
      <c r="U31">
        <v>500</v>
      </c>
      <c r="V31" s="8">
        <f>G31+U31</f>
        <v>0</v>
      </c>
      <c r="W31">
        <v>0</v>
      </c>
      <c r="X31">
        <v>10</v>
      </c>
      <c r="Y31">
        <v>0</v>
      </c>
      <c r="Z31">
        <v>0</v>
      </c>
      <c r="AA31">
        <v>0</v>
      </c>
      <c r="AB31">
        <v>61160.02</v>
      </c>
      <c r="AC31" s="4">
        <v>46267</v>
      </c>
      <c r="AD31" t="s">
        <v>1413</v>
      </c>
      <c r="AE31" t="s">
        <v>1093</v>
      </c>
      <c r="AI31" t="s">
        <v>1261</v>
      </c>
      <c r="AJ31" t="s">
        <v>1262</v>
      </c>
      <c r="AK31">
        <v>4106574</v>
      </c>
      <c r="AM31" t="s">
        <v>1263</v>
      </c>
      <c r="AN31" t="s">
        <v>1414</v>
      </c>
      <c r="AO31" t="s">
        <v>1414</v>
      </c>
      <c r="AP31" s="5">
        <v>46267.512499999997</v>
      </c>
      <c r="AQ31" t="s">
        <v>1266</v>
      </c>
      <c r="AR31" t="s">
        <v>1293</v>
      </c>
      <c r="AS31" t="s">
        <v>1268</v>
      </c>
      <c r="AT31" t="s">
        <v>1269</v>
      </c>
      <c r="AU31" t="s">
        <v>1270</v>
      </c>
    </row>
    <row r="32" spans="1:47" x14ac:dyDescent="0.25">
      <c r="A32" s="1" t="s">
        <v>1043</v>
      </c>
      <c r="B32" s="1" t="s">
        <v>1033</v>
      </c>
      <c r="C32" s="1" t="s">
        <v>1033</v>
      </c>
      <c r="D32" s="1" t="s">
        <v>1044</v>
      </c>
      <c r="E32" s="1" t="s">
        <v>38</v>
      </c>
      <c r="F32" s="1" t="s">
        <v>39</v>
      </c>
      <c r="G32" s="2">
        <v>-1500</v>
      </c>
      <c r="H32" s="2">
        <v>28106496.390000001</v>
      </c>
      <c r="I32" s="1" t="s">
        <v>40</v>
      </c>
      <c r="J32" s="1" t="s">
        <v>49</v>
      </c>
      <c r="K32" s="1" t="s">
        <v>1013</v>
      </c>
      <c r="L32" s="1" t="s">
        <v>39</v>
      </c>
      <c r="M32" s="1" t="s">
        <v>1045</v>
      </c>
      <c r="P32">
        <v>9235</v>
      </c>
      <c r="Q32" t="s">
        <v>1424</v>
      </c>
      <c r="R32" t="s">
        <v>1257</v>
      </c>
      <c r="S32" t="s">
        <v>1258</v>
      </c>
      <c r="T32" t="s">
        <v>1259</v>
      </c>
      <c r="U32">
        <v>1500</v>
      </c>
      <c r="V32" s="8">
        <f>G32+U32</f>
        <v>0</v>
      </c>
      <c r="W32">
        <v>0</v>
      </c>
      <c r="X32">
        <v>25</v>
      </c>
      <c r="Y32">
        <v>0</v>
      </c>
      <c r="Z32">
        <v>1</v>
      </c>
      <c r="AA32">
        <v>0</v>
      </c>
      <c r="AB32">
        <v>158004.79999999999</v>
      </c>
      <c r="AC32" s="4">
        <v>46267</v>
      </c>
      <c r="AD32" t="s">
        <v>1463</v>
      </c>
      <c r="AE32" t="s">
        <v>1043</v>
      </c>
      <c r="AH32" t="s">
        <v>1426</v>
      </c>
      <c r="AI32" t="s">
        <v>1261</v>
      </c>
      <c r="AJ32" t="s">
        <v>1262</v>
      </c>
      <c r="AK32">
        <v>639498</v>
      </c>
      <c r="AL32" t="s">
        <v>1426</v>
      </c>
      <c r="AM32" t="s">
        <v>1263</v>
      </c>
      <c r="AN32" t="s">
        <v>1464</v>
      </c>
      <c r="AO32" t="s">
        <v>1465</v>
      </c>
      <c r="AP32" s="5">
        <v>46267.518750000003</v>
      </c>
      <c r="AQ32" t="s">
        <v>1266</v>
      </c>
      <c r="AR32" t="s">
        <v>1267</v>
      </c>
      <c r="AS32" t="s">
        <v>1268</v>
      </c>
      <c r="AT32" t="s">
        <v>1269</v>
      </c>
      <c r="AU32" t="s">
        <v>1270</v>
      </c>
    </row>
    <row r="33" spans="1:47" x14ac:dyDescent="0.25">
      <c r="A33" s="1" t="s">
        <v>1006</v>
      </c>
      <c r="B33" s="1" t="s">
        <v>1007</v>
      </c>
      <c r="C33" s="1" t="s">
        <v>1007</v>
      </c>
      <c r="D33" s="1" t="s">
        <v>1008</v>
      </c>
      <c r="E33" s="1" t="s">
        <v>38</v>
      </c>
      <c r="F33" s="1" t="s">
        <v>39</v>
      </c>
      <c r="G33" s="2">
        <v>-15300</v>
      </c>
      <c r="H33" s="2">
        <v>28006618.390000001</v>
      </c>
      <c r="I33" s="1" t="s">
        <v>40</v>
      </c>
      <c r="J33" s="1" t="s">
        <v>41</v>
      </c>
      <c r="K33" s="1" t="s">
        <v>1009</v>
      </c>
      <c r="L33" s="1" t="s">
        <v>39</v>
      </c>
      <c r="M33" s="1" t="s">
        <v>39</v>
      </c>
      <c r="P33">
        <v>1391815</v>
      </c>
      <c r="Q33" t="s">
        <v>1490</v>
      </c>
      <c r="R33" t="s">
        <v>1286</v>
      </c>
      <c r="T33" t="s">
        <v>1259</v>
      </c>
      <c r="U33">
        <v>15300</v>
      </c>
      <c r="V33" s="8">
        <f>G33+U33</f>
        <v>0</v>
      </c>
      <c r="W33">
        <v>0</v>
      </c>
      <c r="X33">
        <v>15</v>
      </c>
      <c r="Y33">
        <v>18</v>
      </c>
      <c r="Z33">
        <v>0</v>
      </c>
      <c r="AA33">
        <v>0</v>
      </c>
      <c r="AB33">
        <v>49549.18</v>
      </c>
      <c r="AC33" s="4">
        <v>46267</v>
      </c>
      <c r="AD33" t="s">
        <v>1491</v>
      </c>
      <c r="AE33" t="s">
        <v>1006</v>
      </c>
      <c r="AI33" t="s">
        <v>1261</v>
      </c>
      <c r="AJ33" t="s">
        <v>1262</v>
      </c>
      <c r="AK33">
        <v>1391815</v>
      </c>
      <c r="AM33" t="s">
        <v>1263</v>
      </c>
      <c r="AN33" t="s">
        <v>1492</v>
      </c>
      <c r="AO33" t="s">
        <v>1493</v>
      </c>
      <c r="AP33" s="5">
        <v>46267.522222222222</v>
      </c>
      <c r="AQ33" t="s">
        <v>1266</v>
      </c>
      <c r="AS33" t="s">
        <v>1268</v>
      </c>
      <c r="AT33" t="s">
        <v>1269</v>
      </c>
      <c r="AU33" t="s">
        <v>1270</v>
      </c>
    </row>
    <row r="34" spans="1:47" x14ac:dyDescent="0.25">
      <c r="A34" s="1" t="s">
        <v>1169</v>
      </c>
      <c r="B34" s="1" t="s">
        <v>1170</v>
      </c>
      <c r="C34" s="1" t="s">
        <v>1170</v>
      </c>
      <c r="D34" s="1" t="s">
        <v>1171</v>
      </c>
      <c r="E34" s="1" t="s">
        <v>38</v>
      </c>
      <c r="F34" s="1" t="s">
        <v>39</v>
      </c>
      <c r="G34" s="2">
        <v>-20</v>
      </c>
      <c r="H34" s="2">
        <v>28502165.390000001</v>
      </c>
      <c r="I34" s="1" t="s">
        <v>40</v>
      </c>
      <c r="J34" s="1" t="s">
        <v>49</v>
      </c>
      <c r="K34" s="1" t="s">
        <v>1172</v>
      </c>
      <c r="L34" s="1" t="s">
        <v>39</v>
      </c>
      <c r="M34" s="1" t="s">
        <v>1173</v>
      </c>
      <c r="O34">
        <v>756756</v>
      </c>
      <c r="P34">
        <v>254795093834</v>
      </c>
      <c r="Q34" t="s">
        <v>1328</v>
      </c>
      <c r="R34" t="s">
        <v>1286</v>
      </c>
      <c r="T34" t="s">
        <v>1259</v>
      </c>
      <c r="U34">
        <v>20</v>
      </c>
      <c r="V34" s="8">
        <f>G34+U34</f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56</v>
      </c>
      <c r="AC34" s="4">
        <v>46267</v>
      </c>
      <c r="AD34" t="s">
        <v>1329</v>
      </c>
      <c r="AE34" t="s">
        <v>1169</v>
      </c>
      <c r="AH34" t="s">
        <v>1330</v>
      </c>
      <c r="AI34" t="s">
        <v>1261</v>
      </c>
      <c r="AJ34" t="s">
        <v>1262</v>
      </c>
      <c r="AK34">
        <v>4131085</v>
      </c>
      <c r="AL34" t="s">
        <v>1330</v>
      </c>
      <c r="AM34" t="s">
        <v>1263</v>
      </c>
      <c r="AN34" t="s">
        <v>1331</v>
      </c>
      <c r="AO34" t="s">
        <v>1173</v>
      </c>
      <c r="AP34" s="5">
        <v>46267.416666666664</v>
      </c>
      <c r="AQ34" t="s">
        <v>1266</v>
      </c>
      <c r="AR34" t="s">
        <v>1293</v>
      </c>
      <c r="AS34" t="s">
        <v>1268</v>
      </c>
      <c r="AT34" t="s">
        <v>1269</v>
      </c>
      <c r="AU34" t="s">
        <v>1270</v>
      </c>
    </row>
    <row r="35" spans="1:47" x14ac:dyDescent="0.25">
      <c r="A35" s="1" t="s">
        <v>1129</v>
      </c>
      <c r="B35" s="1" t="s">
        <v>1130</v>
      </c>
      <c r="C35" s="1" t="s">
        <v>1131</v>
      </c>
      <c r="D35" s="1" t="s">
        <v>1132</v>
      </c>
      <c r="E35" s="1" t="s">
        <v>38</v>
      </c>
      <c r="F35" s="1" t="s">
        <v>39</v>
      </c>
      <c r="G35" s="2">
        <v>-3720</v>
      </c>
      <c r="H35" s="2">
        <v>28419913.390000001</v>
      </c>
      <c r="I35" s="1" t="s">
        <v>40</v>
      </c>
      <c r="J35" s="1" t="s">
        <v>49</v>
      </c>
      <c r="K35" s="1" t="s">
        <v>1133</v>
      </c>
      <c r="L35" s="1" t="s">
        <v>39</v>
      </c>
      <c r="M35" s="1" t="s">
        <v>1134</v>
      </c>
      <c r="O35">
        <v>756756</v>
      </c>
      <c r="P35">
        <v>358222</v>
      </c>
      <c r="Q35" t="s">
        <v>1375</v>
      </c>
      <c r="R35" t="s">
        <v>1272</v>
      </c>
      <c r="T35" t="s">
        <v>1259</v>
      </c>
      <c r="U35">
        <v>3720</v>
      </c>
      <c r="V35" s="8">
        <f>G35+U35</f>
        <v>0</v>
      </c>
      <c r="W35">
        <v>0</v>
      </c>
      <c r="X35">
        <v>49</v>
      </c>
      <c r="Y35">
        <v>0</v>
      </c>
      <c r="Z35">
        <v>0</v>
      </c>
      <c r="AA35">
        <v>0</v>
      </c>
      <c r="AB35">
        <v>850.22</v>
      </c>
      <c r="AC35" s="4">
        <v>46267</v>
      </c>
      <c r="AD35" t="s">
        <v>1376</v>
      </c>
      <c r="AE35" t="s">
        <v>1129</v>
      </c>
      <c r="AH35" t="s">
        <v>1377</v>
      </c>
      <c r="AI35" t="s">
        <v>1261</v>
      </c>
      <c r="AJ35" t="s">
        <v>1262</v>
      </c>
      <c r="AK35">
        <v>4107991</v>
      </c>
      <c r="AL35" t="s">
        <v>1377</v>
      </c>
      <c r="AM35" t="s">
        <v>1263</v>
      </c>
      <c r="AN35" t="s">
        <v>1378</v>
      </c>
      <c r="AO35">
        <v>3</v>
      </c>
      <c r="AP35" s="5">
        <v>46267.47152777778</v>
      </c>
      <c r="AQ35" t="s">
        <v>1266</v>
      </c>
      <c r="AR35" t="s">
        <v>1293</v>
      </c>
      <c r="AS35" t="s">
        <v>1268</v>
      </c>
      <c r="AT35" t="s">
        <v>1269</v>
      </c>
      <c r="AU35" t="s">
        <v>1270</v>
      </c>
    </row>
    <row r="36" spans="1:47" x14ac:dyDescent="0.25">
      <c r="A36" s="1" t="s">
        <v>1059</v>
      </c>
      <c r="B36" s="1" t="s">
        <v>1047</v>
      </c>
      <c r="C36" s="1" t="s">
        <v>1060</v>
      </c>
      <c r="D36" s="1" t="s">
        <v>1061</v>
      </c>
      <c r="E36" s="1" t="s">
        <v>38</v>
      </c>
      <c r="F36" s="1" t="s">
        <v>39</v>
      </c>
      <c r="G36" s="2">
        <v>-7408</v>
      </c>
      <c r="H36" s="2">
        <v>28131347.390000001</v>
      </c>
      <c r="I36" s="1" t="s">
        <v>40</v>
      </c>
      <c r="J36" s="1" t="s">
        <v>49</v>
      </c>
      <c r="K36" s="1" t="s">
        <v>1013</v>
      </c>
      <c r="L36" s="1" t="s">
        <v>39</v>
      </c>
      <c r="M36" s="1" t="s">
        <v>1062</v>
      </c>
      <c r="P36">
        <v>9235</v>
      </c>
      <c r="Q36" t="s">
        <v>1424</v>
      </c>
      <c r="R36" t="s">
        <v>1257</v>
      </c>
      <c r="S36" t="s">
        <v>1258</v>
      </c>
      <c r="T36" t="s">
        <v>1259</v>
      </c>
      <c r="U36">
        <v>7408</v>
      </c>
      <c r="V36" s="8">
        <f>G36+U36</f>
        <v>0</v>
      </c>
      <c r="W36">
        <v>0</v>
      </c>
      <c r="X36">
        <v>57</v>
      </c>
      <c r="Y36">
        <v>0</v>
      </c>
      <c r="Z36">
        <v>1</v>
      </c>
      <c r="AA36">
        <v>0</v>
      </c>
      <c r="AB36">
        <v>188066.8</v>
      </c>
      <c r="AC36" s="4">
        <v>46267</v>
      </c>
      <c r="AD36" t="s">
        <v>1447</v>
      </c>
      <c r="AE36" t="s">
        <v>1059</v>
      </c>
      <c r="AH36" t="s">
        <v>1426</v>
      </c>
      <c r="AI36" t="s">
        <v>1261</v>
      </c>
      <c r="AJ36" t="s">
        <v>1262</v>
      </c>
      <c r="AK36">
        <v>639498</v>
      </c>
      <c r="AL36" t="s">
        <v>1426</v>
      </c>
      <c r="AM36" t="s">
        <v>1263</v>
      </c>
      <c r="AN36" t="s">
        <v>1448</v>
      </c>
      <c r="AO36" t="s">
        <v>1449</v>
      </c>
      <c r="AP36" s="5">
        <v>46267.518750000003</v>
      </c>
      <c r="AQ36" t="s">
        <v>1266</v>
      </c>
      <c r="AR36" t="s">
        <v>1267</v>
      </c>
      <c r="AS36" t="s">
        <v>1268</v>
      </c>
      <c r="AT36" t="s">
        <v>1269</v>
      </c>
      <c r="AU36" t="s">
        <v>1270</v>
      </c>
    </row>
    <row r="37" spans="1:47" x14ac:dyDescent="0.25">
      <c r="A37" s="1" t="s">
        <v>1144</v>
      </c>
      <c r="B37" s="1" t="s">
        <v>1145</v>
      </c>
      <c r="C37" s="1" t="s">
        <v>1145</v>
      </c>
      <c r="D37" s="1" t="s">
        <v>1146</v>
      </c>
      <c r="E37" s="1" t="s">
        <v>38</v>
      </c>
      <c r="F37" s="1" t="s">
        <v>39</v>
      </c>
      <c r="G37" s="2">
        <v>-8120</v>
      </c>
      <c r="H37" s="2">
        <v>28444418.390000001</v>
      </c>
      <c r="I37" s="1" t="s">
        <v>40</v>
      </c>
      <c r="J37" s="1" t="s">
        <v>41</v>
      </c>
      <c r="K37" s="1" t="s">
        <v>1147</v>
      </c>
      <c r="L37" s="1" t="s">
        <v>39</v>
      </c>
      <c r="M37" s="1" t="s">
        <v>39</v>
      </c>
      <c r="P37">
        <v>276585</v>
      </c>
      <c r="Q37" t="s">
        <v>1362</v>
      </c>
      <c r="R37" t="s">
        <v>1257</v>
      </c>
      <c r="S37" t="s">
        <v>1258</v>
      </c>
      <c r="T37" t="s">
        <v>1259</v>
      </c>
      <c r="U37">
        <v>8120</v>
      </c>
      <c r="V37" s="8">
        <f>G37+U37</f>
        <v>0</v>
      </c>
      <c r="W37">
        <v>0</v>
      </c>
      <c r="X37">
        <v>15</v>
      </c>
      <c r="Y37">
        <v>0</v>
      </c>
      <c r="Z37">
        <v>1</v>
      </c>
      <c r="AA37">
        <v>0</v>
      </c>
      <c r="AB37">
        <v>13769.36</v>
      </c>
      <c r="AC37" s="4">
        <v>46267</v>
      </c>
      <c r="AD37" t="s">
        <v>1366</v>
      </c>
      <c r="AE37" t="s">
        <v>1144</v>
      </c>
      <c r="AI37" t="s">
        <v>1261</v>
      </c>
      <c r="AJ37" t="s">
        <v>1262</v>
      </c>
      <c r="AK37">
        <v>5775191</v>
      </c>
      <c r="AM37" t="s">
        <v>1263</v>
      </c>
      <c r="AN37" t="s">
        <v>1367</v>
      </c>
      <c r="AO37" t="s">
        <v>1368</v>
      </c>
      <c r="AP37" s="5">
        <v>46267.458333333336</v>
      </c>
      <c r="AQ37" t="s">
        <v>1266</v>
      </c>
      <c r="AS37" t="s">
        <v>1268</v>
      </c>
      <c r="AT37" t="s">
        <v>1269</v>
      </c>
      <c r="AU37" t="s">
        <v>1270</v>
      </c>
    </row>
    <row r="38" spans="1:47" x14ac:dyDescent="0.25">
      <c r="A38" s="1" t="s">
        <v>1127</v>
      </c>
      <c r="B38" s="1" t="s">
        <v>1128</v>
      </c>
      <c r="C38" s="1" t="s">
        <v>1128</v>
      </c>
      <c r="D38" s="1" t="s">
        <v>946</v>
      </c>
      <c r="E38" s="1" t="s">
        <v>38</v>
      </c>
      <c r="F38" s="1" t="s">
        <v>39</v>
      </c>
      <c r="G38" s="2">
        <v>-3860</v>
      </c>
      <c r="H38" s="2">
        <v>28416014.390000001</v>
      </c>
      <c r="I38" s="1" t="s">
        <v>40</v>
      </c>
      <c r="J38" s="1" t="s">
        <v>49</v>
      </c>
      <c r="K38" s="1" t="s">
        <v>947</v>
      </c>
      <c r="L38" s="1" t="s">
        <v>39</v>
      </c>
      <c r="M38" s="1" t="s">
        <v>948</v>
      </c>
      <c r="P38">
        <v>1003020</v>
      </c>
      <c r="Q38" t="s">
        <v>1379</v>
      </c>
      <c r="R38" t="s">
        <v>1380</v>
      </c>
      <c r="T38" t="s">
        <v>1259</v>
      </c>
      <c r="U38">
        <v>3860</v>
      </c>
      <c r="V38" s="8">
        <f>G38+U38</f>
        <v>0</v>
      </c>
      <c r="W38">
        <v>0</v>
      </c>
      <c r="X38">
        <v>49</v>
      </c>
      <c r="Y38">
        <v>38.6</v>
      </c>
      <c r="Z38">
        <v>0</v>
      </c>
      <c r="AA38">
        <v>0</v>
      </c>
      <c r="AB38">
        <v>41918.93</v>
      </c>
      <c r="AC38" s="4">
        <v>46267</v>
      </c>
      <c r="AD38" t="s">
        <v>1381</v>
      </c>
      <c r="AE38" t="s">
        <v>1127</v>
      </c>
      <c r="AH38" t="s">
        <v>1382</v>
      </c>
      <c r="AI38" t="s">
        <v>1261</v>
      </c>
      <c r="AJ38" t="s">
        <v>1262</v>
      </c>
      <c r="AK38">
        <v>1003020</v>
      </c>
      <c r="AL38" t="s">
        <v>1382</v>
      </c>
      <c r="AM38" t="s">
        <v>1263</v>
      </c>
      <c r="AN38" t="s">
        <v>1383</v>
      </c>
      <c r="AO38" t="s">
        <v>1384</v>
      </c>
      <c r="AP38" s="5">
        <v>46267.481944444444</v>
      </c>
      <c r="AQ38" t="s">
        <v>1266</v>
      </c>
      <c r="AS38" t="s">
        <v>1268</v>
      </c>
      <c r="AT38" t="s">
        <v>1269</v>
      </c>
      <c r="AU38" t="s">
        <v>1270</v>
      </c>
    </row>
    <row r="39" spans="1:47" x14ac:dyDescent="0.25">
      <c r="A39" s="1" t="s">
        <v>1111</v>
      </c>
      <c r="B39" s="1" t="s">
        <v>1112</v>
      </c>
      <c r="C39" s="1" t="s">
        <v>1112</v>
      </c>
      <c r="D39" s="1" t="s">
        <v>1113</v>
      </c>
      <c r="E39" s="1" t="s">
        <v>38</v>
      </c>
      <c r="F39" s="1" t="s">
        <v>39</v>
      </c>
      <c r="G39" s="2">
        <v>-960</v>
      </c>
      <c r="H39" s="2">
        <v>28365289.390000001</v>
      </c>
      <c r="I39" s="1" t="s">
        <v>40</v>
      </c>
      <c r="J39" s="1" t="s">
        <v>49</v>
      </c>
      <c r="K39" s="1" t="s">
        <v>755</v>
      </c>
      <c r="L39" s="1" t="s">
        <v>39</v>
      </c>
      <c r="M39" s="1" t="s">
        <v>1114</v>
      </c>
      <c r="P39">
        <v>118594</v>
      </c>
      <c r="Q39" t="s">
        <v>1396</v>
      </c>
      <c r="R39" t="s">
        <v>1257</v>
      </c>
      <c r="S39" t="s">
        <v>1397</v>
      </c>
      <c r="T39" t="s">
        <v>1259</v>
      </c>
      <c r="U39">
        <v>960</v>
      </c>
      <c r="V39" s="8">
        <f>G39+U39</f>
        <v>0</v>
      </c>
      <c r="W39">
        <v>0</v>
      </c>
      <c r="X39">
        <v>20</v>
      </c>
      <c r="Y39">
        <v>0</v>
      </c>
      <c r="Z39">
        <v>1</v>
      </c>
      <c r="AA39">
        <v>0</v>
      </c>
      <c r="AB39">
        <v>42846.58</v>
      </c>
      <c r="AC39" s="4">
        <v>46267</v>
      </c>
      <c r="AD39" t="s">
        <v>1398</v>
      </c>
      <c r="AE39" t="s">
        <v>1111</v>
      </c>
      <c r="AH39" t="s">
        <v>1399</v>
      </c>
      <c r="AI39" t="s">
        <v>1261</v>
      </c>
      <c r="AJ39" t="s">
        <v>1262</v>
      </c>
      <c r="AK39">
        <v>522533</v>
      </c>
      <c r="AL39" t="s">
        <v>1399</v>
      </c>
      <c r="AM39" t="s">
        <v>1263</v>
      </c>
      <c r="AN39" t="s">
        <v>1400</v>
      </c>
      <c r="AO39">
        <v>7881524</v>
      </c>
      <c r="AP39" s="5">
        <v>46267.488888888889</v>
      </c>
      <c r="AQ39" t="s">
        <v>1266</v>
      </c>
      <c r="AS39" t="s">
        <v>1268</v>
      </c>
      <c r="AT39" t="s">
        <v>1269</v>
      </c>
      <c r="AU39" t="s">
        <v>1270</v>
      </c>
    </row>
    <row r="40" spans="1:47" x14ac:dyDescent="0.25">
      <c r="A40" s="1" t="s">
        <v>1050</v>
      </c>
      <c r="B40" s="1" t="s">
        <v>1047</v>
      </c>
      <c r="C40" s="1" t="s">
        <v>1047</v>
      </c>
      <c r="D40" s="1" t="s">
        <v>1051</v>
      </c>
      <c r="E40" s="1" t="s">
        <v>38</v>
      </c>
      <c r="F40" s="1" t="s">
        <v>39</v>
      </c>
      <c r="G40" s="2">
        <v>-7503</v>
      </c>
      <c r="H40" s="2">
        <v>28115174.390000001</v>
      </c>
      <c r="I40" s="1" t="s">
        <v>40</v>
      </c>
      <c r="J40" s="1" t="s">
        <v>49</v>
      </c>
      <c r="K40" s="1" t="s">
        <v>1013</v>
      </c>
      <c r="L40" s="1" t="s">
        <v>39</v>
      </c>
      <c r="M40" s="1" t="s">
        <v>1052</v>
      </c>
      <c r="P40">
        <v>9235</v>
      </c>
      <c r="Q40" t="s">
        <v>1424</v>
      </c>
      <c r="R40" t="s">
        <v>1257</v>
      </c>
      <c r="S40" t="s">
        <v>1258</v>
      </c>
      <c r="T40" t="s">
        <v>1259</v>
      </c>
      <c r="U40">
        <v>7503</v>
      </c>
      <c r="V40" s="8">
        <f>G40+U40</f>
        <v>0</v>
      </c>
      <c r="W40">
        <v>0</v>
      </c>
      <c r="X40">
        <v>63</v>
      </c>
      <c r="Y40">
        <v>0</v>
      </c>
      <c r="Z40">
        <v>1</v>
      </c>
      <c r="AA40">
        <v>0</v>
      </c>
      <c r="AB40">
        <v>166664.79999999999</v>
      </c>
      <c r="AC40" s="4">
        <v>46267</v>
      </c>
      <c r="AD40" t="s">
        <v>1457</v>
      </c>
      <c r="AE40" t="s">
        <v>1050</v>
      </c>
      <c r="AH40" t="s">
        <v>1426</v>
      </c>
      <c r="AI40" t="s">
        <v>1261</v>
      </c>
      <c r="AJ40" t="s">
        <v>1262</v>
      </c>
      <c r="AK40">
        <v>639498</v>
      </c>
      <c r="AL40" t="s">
        <v>1426</v>
      </c>
      <c r="AM40" t="s">
        <v>1263</v>
      </c>
      <c r="AN40" t="s">
        <v>1458</v>
      </c>
      <c r="AO40" t="s">
        <v>1459</v>
      </c>
      <c r="AP40" s="5">
        <v>46267.518750000003</v>
      </c>
      <c r="AQ40" t="s">
        <v>1266</v>
      </c>
      <c r="AR40" t="s">
        <v>1267</v>
      </c>
      <c r="AS40" t="s">
        <v>1268</v>
      </c>
      <c r="AT40" t="s">
        <v>1269</v>
      </c>
      <c r="AU40" t="s">
        <v>1270</v>
      </c>
    </row>
    <row r="41" spans="1:47" x14ac:dyDescent="0.25">
      <c r="A41" s="1" t="s">
        <v>1053</v>
      </c>
      <c r="B41" s="1" t="s">
        <v>1047</v>
      </c>
      <c r="C41" s="1" t="s">
        <v>1047</v>
      </c>
      <c r="D41" s="1" t="s">
        <v>1054</v>
      </c>
      <c r="E41" s="1" t="s">
        <v>38</v>
      </c>
      <c r="F41" s="1" t="s">
        <v>39</v>
      </c>
      <c r="G41" s="2">
        <v>-6784</v>
      </c>
      <c r="H41" s="2">
        <v>28122725.390000001</v>
      </c>
      <c r="I41" s="1" t="s">
        <v>40</v>
      </c>
      <c r="J41" s="1" t="s">
        <v>49</v>
      </c>
      <c r="K41" s="1" t="s">
        <v>1013</v>
      </c>
      <c r="L41" s="1" t="s">
        <v>39</v>
      </c>
      <c r="M41" s="1" t="s">
        <v>1055</v>
      </c>
      <c r="P41">
        <v>9235</v>
      </c>
      <c r="Q41" t="s">
        <v>1424</v>
      </c>
      <c r="R41" t="s">
        <v>1257</v>
      </c>
      <c r="S41" t="s">
        <v>1258</v>
      </c>
      <c r="T41" t="s">
        <v>1259</v>
      </c>
      <c r="U41">
        <v>6784</v>
      </c>
      <c r="V41" s="8">
        <f>G41+U41</f>
        <v>0</v>
      </c>
      <c r="W41">
        <v>0</v>
      </c>
      <c r="X41">
        <v>57</v>
      </c>
      <c r="Y41">
        <v>0</v>
      </c>
      <c r="Z41">
        <v>1</v>
      </c>
      <c r="AA41">
        <v>0</v>
      </c>
      <c r="AB41">
        <v>174231.8</v>
      </c>
      <c r="AC41" s="4">
        <v>46267</v>
      </c>
      <c r="AD41" t="s">
        <v>1454</v>
      </c>
      <c r="AE41" t="s">
        <v>1053</v>
      </c>
      <c r="AH41" t="s">
        <v>1426</v>
      </c>
      <c r="AI41" t="s">
        <v>1261</v>
      </c>
      <c r="AJ41" t="s">
        <v>1262</v>
      </c>
      <c r="AK41">
        <v>639498</v>
      </c>
      <c r="AL41" t="s">
        <v>1426</v>
      </c>
      <c r="AM41" t="s">
        <v>1263</v>
      </c>
      <c r="AN41" t="s">
        <v>1455</v>
      </c>
      <c r="AO41" t="s">
        <v>1456</v>
      </c>
      <c r="AP41" s="5">
        <v>46267.518750000003</v>
      </c>
      <c r="AQ41" t="s">
        <v>1266</v>
      </c>
      <c r="AR41" t="s">
        <v>1267</v>
      </c>
      <c r="AS41" t="s">
        <v>1268</v>
      </c>
      <c r="AT41" t="s">
        <v>1269</v>
      </c>
      <c r="AU41" t="s">
        <v>1270</v>
      </c>
    </row>
    <row r="42" spans="1:47" x14ac:dyDescent="0.25">
      <c r="A42" s="1" t="s">
        <v>989</v>
      </c>
      <c r="B42" s="1" t="s">
        <v>990</v>
      </c>
      <c r="C42" s="1" t="s">
        <v>991</v>
      </c>
      <c r="D42" s="1" t="s">
        <v>992</v>
      </c>
      <c r="E42" s="1" t="s">
        <v>38</v>
      </c>
      <c r="F42" s="1" t="s">
        <v>39</v>
      </c>
      <c r="G42" s="2">
        <v>-100</v>
      </c>
      <c r="H42" s="2">
        <v>6033245.6399999997</v>
      </c>
      <c r="I42" s="1" t="s">
        <v>40</v>
      </c>
      <c r="J42" s="1" t="s">
        <v>49</v>
      </c>
      <c r="K42" s="1" t="s">
        <v>220</v>
      </c>
      <c r="L42" s="1" t="s">
        <v>39</v>
      </c>
      <c r="M42" s="1" t="s">
        <v>993</v>
      </c>
      <c r="P42">
        <v>1662340</v>
      </c>
      <c r="Q42" t="s">
        <v>1498</v>
      </c>
      <c r="R42" t="s">
        <v>1286</v>
      </c>
      <c r="T42" t="s">
        <v>1259</v>
      </c>
      <c r="U42">
        <v>100</v>
      </c>
      <c r="V42" s="8">
        <f>G42+U42</f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7</v>
      </c>
      <c r="AC42" s="4">
        <v>46267</v>
      </c>
      <c r="AD42" t="s">
        <v>1499</v>
      </c>
      <c r="AE42" t="s">
        <v>989</v>
      </c>
      <c r="AH42" t="s">
        <v>1326</v>
      </c>
      <c r="AI42" t="s">
        <v>1261</v>
      </c>
      <c r="AJ42" t="s">
        <v>1262</v>
      </c>
      <c r="AK42">
        <v>1662340</v>
      </c>
      <c r="AL42" t="s">
        <v>1326</v>
      </c>
      <c r="AM42" t="s">
        <v>1263</v>
      </c>
      <c r="AN42" t="s">
        <v>1500</v>
      </c>
      <c r="AO42" t="s">
        <v>1501</v>
      </c>
      <c r="AP42" s="5">
        <v>46267.539583333331</v>
      </c>
      <c r="AQ42" t="s">
        <v>1266</v>
      </c>
      <c r="AS42" t="s">
        <v>1268</v>
      </c>
      <c r="AT42" t="s">
        <v>1269</v>
      </c>
      <c r="AU42" t="s">
        <v>1270</v>
      </c>
    </row>
    <row r="43" spans="1:47" x14ac:dyDescent="0.25">
      <c r="A43" s="1" t="s">
        <v>980</v>
      </c>
      <c r="B43" s="1" t="s">
        <v>981</v>
      </c>
      <c r="C43" s="1" t="s">
        <v>982</v>
      </c>
      <c r="D43" s="1" t="s">
        <v>983</v>
      </c>
      <c r="E43" s="1" t="s">
        <v>38</v>
      </c>
      <c r="F43" s="1" t="s">
        <v>39</v>
      </c>
      <c r="G43" s="2">
        <v>-4000</v>
      </c>
      <c r="H43" s="2">
        <v>6027181.6399999997</v>
      </c>
      <c r="I43" s="1" t="s">
        <v>40</v>
      </c>
      <c r="J43" s="1" t="s">
        <v>49</v>
      </c>
      <c r="K43" s="1" t="s">
        <v>880</v>
      </c>
      <c r="L43" s="1" t="s">
        <v>39</v>
      </c>
      <c r="M43" s="1" t="s">
        <v>984</v>
      </c>
      <c r="P43">
        <v>36302</v>
      </c>
      <c r="Q43" t="s">
        <v>1502</v>
      </c>
      <c r="R43" t="s">
        <v>1257</v>
      </c>
      <c r="S43" t="s">
        <v>1258</v>
      </c>
      <c r="T43" t="s">
        <v>1259</v>
      </c>
      <c r="U43">
        <v>4000</v>
      </c>
      <c r="V43" s="8">
        <f>G43+U43</f>
        <v>0</v>
      </c>
      <c r="W43">
        <v>0</v>
      </c>
      <c r="X43">
        <v>49</v>
      </c>
      <c r="Y43">
        <v>0</v>
      </c>
      <c r="Z43">
        <v>1</v>
      </c>
      <c r="AA43">
        <v>0</v>
      </c>
      <c r="AB43">
        <v>319551</v>
      </c>
      <c r="AC43" s="4">
        <v>46267</v>
      </c>
      <c r="AD43" t="s">
        <v>1506</v>
      </c>
      <c r="AE43" t="s">
        <v>980</v>
      </c>
      <c r="AH43" t="s">
        <v>1407</v>
      </c>
      <c r="AI43" t="s">
        <v>1261</v>
      </c>
      <c r="AJ43" t="s">
        <v>1262</v>
      </c>
      <c r="AK43">
        <v>400200</v>
      </c>
      <c r="AL43" t="s">
        <v>1407</v>
      </c>
      <c r="AM43" t="s">
        <v>1263</v>
      </c>
      <c r="AN43" t="s">
        <v>1507</v>
      </c>
      <c r="AO43">
        <v>797900</v>
      </c>
      <c r="AP43" s="5">
        <v>46267.542361111111</v>
      </c>
      <c r="AQ43" t="s">
        <v>1266</v>
      </c>
      <c r="AS43" t="s">
        <v>1268</v>
      </c>
      <c r="AT43" t="s">
        <v>1269</v>
      </c>
      <c r="AU43" t="s">
        <v>1270</v>
      </c>
    </row>
    <row r="44" spans="1:47" x14ac:dyDescent="0.25">
      <c r="A44" s="1" t="s">
        <v>1115</v>
      </c>
      <c r="B44" s="1" t="s">
        <v>1116</v>
      </c>
      <c r="C44" s="1" t="s">
        <v>1116</v>
      </c>
      <c r="D44" s="1" t="s">
        <v>1117</v>
      </c>
      <c r="E44" s="1" t="s">
        <v>38</v>
      </c>
      <c r="F44" s="1" t="s">
        <v>39</v>
      </c>
      <c r="G44" s="2">
        <v>-49350</v>
      </c>
      <c r="H44" s="2">
        <v>28366364.390000001</v>
      </c>
      <c r="I44" s="1" t="s">
        <v>40</v>
      </c>
      <c r="J44" s="1" t="s">
        <v>41</v>
      </c>
      <c r="K44" s="1" t="s">
        <v>1118</v>
      </c>
      <c r="L44" s="1" t="s">
        <v>39</v>
      </c>
      <c r="M44" s="1" t="s">
        <v>39</v>
      </c>
      <c r="P44">
        <v>520420</v>
      </c>
      <c r="Q44" t="s">
        <v>1392</v>
      </c>
      <c r="R44" t="s">
        <v>1286</v>
      </c>
      <c r="T44" t="s">
        <v>1259</v>
      </c>
      <c r="U44">
        <v>49350</v>
      </c>
      <c r="V44" s="8">
        <f>G44+U44</f>
        <v>0</v>
      </c>
      <c r="W44">
        <v>0</v>
      </c>
      <c r="X44">
        <v>15</v>
      </c>
      <c r="Y44">
        <v>15</v>
      </c>
      <c r="Z44">
        <v>0</v>
      </c>
      <c r="AA44">
        <v>0</v>
      </c>
      <c r="AB44">
        <v>90985.224000000002</v>
      </c>
      <c r="AC44" s="4">
        <v>46267</v>
      </c>
      <c r="AD44" t="s">
        <v>1393</v>
      </c>
      <c r="AE44" t="s">
        <v>1115</v>
      </c>
      <c r="AI44" t="s">
        <v>1261</v>
      </c>
      <c r="AJ44" t="s">
        <v>1262</v>
      </c>
      <c r="AK44">
        <v>520420</v>
      </c>
      <c r="AM44" t="s">
        <v>1263</v>
      </c>
      <c r="AN44" t="s">
        <v>1394</v>
      </c>
      <c r="AO44" t="s">
        <v>1395</v>
      </c>
      <c r="AP44" s="5">
        <v>46267.488194444442</v>
      </c>
      <c r="AQ44" t="s">
        <v>1266</v>
      </c>
      <c r="AS44" t="s">
        <v>1268</v>
      </c>
      <c r="AT44" t="s">
        <v>1269</v>
      </c>
      <c r="AU44" t="s">
        <v>1270</v>
      </c>
    </row>
    <row r="45" spans="1:47" x14ac:dyDescent="0.25">
      <c r="A45" s="1" t="s">
        <v>1102</v>
      </c>
      <c r="B45" s="1" t="s">
        <v>1103</v>
      </c>
      <c r="C45" s="1" t="s">
        <v>1104</v>
      </c>
      <c r="D45" s="1" t="s">
        <v>1105</v>
      </c>
      <c r="E45" s="1" t="s">
        <v>38</v>
      </c>
      <c r="F45" s="1" t="s">
        <v>39</v>
      </c>
      <c r="G45" s="2">
        <v>-18000</v>
      </c>
      <c r="H45" s="2">
        <v>28346588.390000001</v>
      </c>
      <c r="I45" s="1" t="s">
        <v>40</v>
      </c>
      <c r="J45" s="1" t="s">
        <v>49</v>
      </c>
      <c r="K45" s="1" t="s">
        <v>880</v>
      </c>
      <c r="L45" s="1" t="s">
        <v>39</v>
      </c>
      <c r="M45" s="1" t="s">
        <v>1106</v>
      </c>
      <c r="O45">
        <v>756756</v>
      </c>
      <c r="P45">
        <v>254742451519</v>
      </c>
      <c r="Q45" t="s">
        <v>1405</v>
      </c>
      <c r="R45" t="s">
        <v>1286</v>
      </c>
      <c r="T45" t="s">
        <v>1259</v>
      </c>
      <c r="U45">
        <v>18000</v>
      </c>
      <c r="V45" s="8">
        <f>G45+U45</f>
        <v>0</v>
      </c>
      <c r="W45">
        <v>0</v>
      </c>
      <c r="X45">
        <v>80</v>
      </c>
      <c r="Y45">
        <v>0</v>
      </c>
      <c r="Z45">
        <v>0</v>
      </c>
      <c r="AA45">
        <v>0</v>
      </c>
      <c r="AB45">
        <v>49363</v>
      </c>
      <c r="AC45" s="4">
        <v>46267</v>
      </c>
      <c r="AD45" t="s">
        <v>1406</v>
      </c>
      <c r="AE45" t="s">
        <v>1102</v>
      </c>
      <c r="AH45" t="s">
        <v>1407</v>
      </c>
      <c r="AI45" t="s">
        <v>1261</v>
      </c>
      <c r="AJ45" t="s">
        <v>1262</v>
      </c>
      <c r="AK45">
        <v>400200</v>
      </c>
      <c r="AL45" t="s">
        <v>1407</v>
      </c>
      <c r="AM45" t="s">
        <v>1263</v>
      </c>
      <c r="AN45" t="s">
        <v>1408</v>
      </c>
      <c r="AO45" s="6" t="s">
        <v>1106</v>
      </c>
      <c r="AP45" s="5">
        <v>46267.504861111112</v>
      </c>
      <c r="AQ45" t="s">
        <v>1266</v>
      </c>
      <c r="AR45" t="s">
        <v>1293</v>
      </c>
      <c r="AS45" t="s">
        <v>1268</v>
      </c>
      <c r="AT45" t="s">
        <v>1269</v>
      </c>
      <c r="AU45" t="s">
        <v>1270</v>
      </c>
    </row>
    <row r="46" spans="1:47" x14ac:dyDescent="0.25">
      <c r="A46" s="1" t="s">
        <v>1097</v>
      </c>
      <c r="B46" s="1" t="s">
        <v>1098</v>
      </c>
      <c r="C46" s="1" t="s">
        <v>1098</v>
      </c>
      <c r="D46" s="1" t="s">
        <v>1099</v>
      </c>
      <c r="E46" s="1" t="s">
        <v>38</v>
      </c>
      <c r="F46" s="1" t="s">
        <v>39</v>
      </c>
      <c r="G46" s="2">
        <v>-25000</v>
      </c>
      <c r="H46" s="2">
        <v>28321520.390000001</v>
      </c>
      <c r="I46" s="1" t="s">
        <v>40</v>
      </c>
      <c r="J46" s="1" t="s">
        <v>49</v>
      </c>
      <c r="K46" s="1" t="s">
        <v>1100</v>
      </c>
      <c r="L46" s="1" t="s">
        <v>39</v>
      </c>
      <c r="M46" s="1" t="s">
        <v>1101</v>
      </c>
      <c r="O46">
        <v>756756</v>
      </c>
      <c r="P46">
        <v>254742451519</v>
      </c>
      <c r="Q46" t="s">
        <v>1405</v>
      </c>
      <c r="R46" t="s">
        <v>1286</v>
      </c>
      <c r="T46" t="s">
        <v>1259</v>
      </c>
      <c r="U46">
        <v>25000</v>
      </c>
      <c r="V46" s="8">
        <f>G46+U46</f>
        <v>0</v>
      </c>
      <c r="W46">
        <v>0</v>
      </c>
      <c r="X46">
        <v>87</v>
      </c>
      <c r="Y46">
        <v>0</v>
      </c>
      <c r="Z46">
        <v>0</v>
      </c>
      <c r="AA46">
        <v>0</v>
      </c>
      <c r="AB46">
        <v>21756</v>
      </c>
      <c r="AC46" s="4">
        <v>46267</v>
      </c>
      <c r="AD46" t="s">
        <v>1409</v>
      </c>
      <c r="AE46" t="s">
        <v>1097</v>
      </c>
      <c r="AH46" t="s">
        <v>1410</v>
      </c>
      <c r="AI46" t="s">
        <v>1261</v>
      </c>
      <c r="AJ46" t="s">
        <v>1262</v>
      </c>
      <c r="AK46">
        <v>823244</v>
      </c>
      <c r="AL46" t="s">
        <v>1410</v>
      </c>
      <c r="AM46" t="s">
        <v>1263</v>
      </c>
      <c r="AN46" t="s">
        <v>1411</v>
      </c>
      <c r="AO46">
        <v>801047054501</v>
      </c>
      <c r="AP46" s="5">
        <v>46267.506944444445</v>
      </c>
      <c r="AQ46" t="s">
        <v>1266</v>
      </c>
      <c r="AR46" t="s">
        <v>1293</v>
      </c>
      <c r="AS46" t="s">
        <v>1268</v>
      </c>
      <c r="AT46" t="s">
        <v>1269</v>
      </c>
      <c r="AU46" t="s">
        <v>1270</v>
      </c>
    </row>
    <row r="47" spans="1:47" x14ac:dyDescent="0.25">
      <c r="A47" s="1" t="s">
        <v>1076</v>
      </c>
      <c r="B47" s="1" t="s">
        <v>1073</v>
      </c>
      <c r="C47" s="1" t="s">
        <v>1073</v>
      </c>
      <c r="D47" s="1" t="s">
        <v>1077</v>
      </c>
      <c r="E47" s="1" t="s">
        <v>38</v>
      </c>
      <c r="F47" s="1" t="s">
        <v>39</v>
      </c>
      <c r="G47" s="2">
        <v>-6290</v>
      </c>
      <c r="H47" s="2">
        <v>28286158.390000001</v>
      </c>
      <c r="I47" s="1" t="s">
        <v>40</v>
      </c>
      <c r="J47" s="1" t="s">
        <v>49</v>
      </c>
      <c r="K47" s="1" t="s">
        <v>1013</v>
      </c>
      <c r="L47" s="1" t="s">
        <v>39</v>
      </c>
      <c r="M47" s="1" t="s">
        <v>1078</v>
      </c>
      <c r="P47">
        <v>9235</v>
      </c>
      <c r="Q47" t="s">
        <v>1424</v>
      </c>
      <c r="R47" t="s">
        <v>1257</v>
      </c>
      <c r="S47" t="s">
        <v>1258</v>
      </c>
      <c r="T47" t="s">
        <v>1259</v>
      </c>
      <c r="U47">
        <v>6290</v>
      </c>
      <c r="V47" s="8">
        <f>G47+U47</f>
        <v>0</v>
      </c>
      <c r="W47">
        <v>0</v>
      </c>
      <c r="X47">
        <v>57</v>
      </c>
      <c r="Y47">
        <v>0</v>
      </c>
      <c r="Z47">
        <v>1</v>
      </c>
      <c r="AA47">
        <v>0</v>
      </c>
      <c r="AB47">
        <v>353969</v>
      </c>
      <c r="AC47" s="4">
        <v>46267</v>
      </c>
      <c r="AD47" t="s">
        <v>1429</v>
      </c>
      <c r="AE47" t="s">
        <v>1076</v>
      </c>
      <c r="AH47" t="s">
        <v>1426</v>
      </c>
      <c r="AI47" t="s">
        <v>1261</v>
      </c>
      <c r="AJ47" t="s">
        <v>1262</v>
      </c>
      <c r="AK47">
        <v>639498</v>
      </c>
      <c r="AL47" t="s">
        <v>1426</v>
      </c>
      <c r="AM47" t="s">
        <v>1263</v>
      </c>
      <c r="AN47" t="s">
        <v>1430</v>
      </c>
      <c r="AO47" t="s">
        <v>1431</v>
      </c>
      <c r="AP47" s="5">
        <v>46267.518750000003</v>
      </c>
      <c r="AQ47" t="s">
        <v>1266</v>
      </c>
      <c r="AR47" t="s">
        <v>1267</v>
      </c>
      <c r="AS47" t="s">
        <v>1268</v>
      </c>
      <c r="AT47" t="s">
        <v>1269</v>
      </c>
      <c r="AU47" t="s">
        <v>1270</v>
      </c>
    </row>
    <row r="48" spans="1:47" x14ac:dyDescent="0.25">
      <c r="A48" s="1" t="s">
        <v>1028</v>
      </c>
      <c r="B48" s="1" t="s">
        <v>1019</v>
      </c>
      <c r="C48" s="1" t="s">
        <v>1029</v>
      </c>
      <c r="D48" s="1" t="s">
        <v>1030</v>
      </c>
      <c r="E48" s="1" t="s">
        <v>38</v>
      </c>
      <c r="F48" s="1" t="s">
        <v>39</v>
      </c>
      <c r="G48" s="2">
        <v>-32230</v>
      </c>
      <c r="H48" s="2">
        <v>28048640.390000001</v>
      </c>
      <c r="I48" s="1" t="s">
        <v>40</v>
      </c>
      <c r="J48" s="1" t="s">
        <v>49</v>
      </c>
      <c r="K48" s="1" t="s">
        <v>1013</v>
      </c>
      <c r="L48" s="1" t="s">
        <v>39</v>
      </c>
      <c r="M48" s="1" t="s">
        <v>1031</v>
      </c>
      <c r="P48">
        <v>9235</v>
      </c>
      <c r="Q48" t="s">
        <v>1424</v>
      </c>
      <c r="R48" t="s">
        <v>1257</v>
      </c>
      <c r="S48" t="s">
        <v>1258</v>
      </c>
      <c r="T48" t="s">
        <v>1259</v>
      </c>
      <c r="U48">
        <v>32230</v>
      </c>
      <c r="V48" s="8">
        <f>G48+U48</f>
        <v>0</v>
      </c>
      <c r="W48">
        <v>0</v>
      </c>
      <c r="X48">
        <v>105</v>
      </c>
      <c r="Y48">
        <v>0</v>
      </c>
      <c r="Z48">
        <v>1</v>
      </c>
      <c r="AA48">
        <v>0</v>
      </c>
      <c r="AB48">
        <v>64012.6</v>
      </c>
      <c r="AC48" s="4">
        <v>46267</v>
      </c>
      <c r="AD48" t="s">
        <v>1472</v>
      </c>
      <c r="AE48" t="s">
        <v>1028</v>
      </c>
      <c r="AH48" t="s">
        <v>1426</v>
      </c>
      <c r="AI48" t="s">
        <v>1261</v>
      </c>
      <c r="AJ48" t="s">
        <v>1262</v>
      </c>
      <c r="AK48">
        <v>639498</v>
      </c>
      <c r="AL48" t="s">
        <v>1426</v>
      </c>
      <c r="AM48" t="s">
        <v>1263</v>
      </c>
      <c r="AN48" t="s">
        <v>1473</v>
      </c>
      <c r="AO48" t="s">
        <v>1474</v>
      </c>
      <c r="AP48" s="5">
        <v>46267.518750000003</v>
      </c>
      <c r="AQ48" t="s">
        <v>1266</v>
      </c>
      <c r="AR48" t="s">
        <v>1267</v>
      </c>
      <c r="AS48" t="s">
        <v>1268</v>
      </c>
      <c r="AT48" t="s">
        <v>1269</v>
      </c>
      <c r="AU48" t="s">
        <v>1270</v>
      </c>
    </row>
    <row r="49" spans="1:47" x14ac:dyDescent="0.25">
      <c r="A49" s="1" t="s">
        <v>1018</v>
      </c>
      <c r="B49" s="1" t="s">
        <v>1019</v>
      </c>
      <c r="C49" s="1" t="s">
        <v>1019</v>
      </c>
      <c r="D49" s="1" t="s">
        <v>1020</v>
      </c>
      <c r="E49" s="1" t="s">
        <v>38</v>
      </c>
      <c r="F49" s="1" t="s">
        <v>39</v>
      </c>
      <c r="G49" s="2">
        <v>-4219</v>
      </c>
      <c r="H49" s="2">
        <v>28040150.390000001</v>
      </c>
      <c r="I49" s="1" t="s">
        <v>40</v>
      </c>
      <c r="J49" s="1" t="s">
        <v>49</v>
      </c>
      <c r="K49" s="1" t="s">
        <v>1013</v>
      </c>
      <c r="L49" s="1" t="s">
        <v>39</v>
      </c>
      <c r="M49" s="1" t="s">
        <v>1021</v>
      </c>
      <c r="P49">
        <v>9235</v>
      </c>
      <c r="Q49" t="s">
        <v>1424</v>
      </c>
      <c r="R49" t="s">
        <v>1257</v>
      </c>
      <c r="S49" t="s">
        <v>1258</v>
      </c>
      <c r="T49" t="s">
        <v>1259</v>
      </c>
      <c r="U49">
        <v>4219</v>
      </c>
      <c r="V49" s="8">
        <f>G49+U49</f>
        <v>0</v>
      </c>
      <c r="W49">
        <v>0</v>
      </c>
      <c r="X49">
        <v>49</v>
      </c>
      <c r="Y49">
        <v>0</v>
      </c>
      <c r="Z49">
        <v>1</v>
      </c>
      <c r="AA49">
        <v>0</v>
      </c>
      <c r="AB49">
        <v>55296.6</v>
      </c>
      <c r="AC49" s="4">
        <v>46267</v>
      </c>
      <c r="AD49" t="s">
        <v>1481</v>
      </c>
      <c r="AE49" t="s">
        <v>1018</v>
      </c>
      <c r="AH49" t="s">
        <v>1426</v>
      </c>
      <c r="AI49" t="s">
        <v>1261</v>
      </c>
      <c r="AJ49" t="s">
        <v>1262</v>
      </c>
      <c r="AK49">
        <v>639498</v>
      </c>
      <c r="AL49" t="s">
        <v>1426</v>
      </c>
      <c r="AM49" t="s">
        <v>1263</v>
      </c>
      <c r="AN49" t="s">
        <v>1482</v>
      </c>
      <c r="AO49" t="s">
        <v>1483</v>
      </c>
      <c r="AP49" s="5">
        <v>46267.518750000003</v>
      </c>
      <c r="AQ49" t="s">
        <v>1266</v>
      </c>
      <c r="AR49" t="s">
        <v>1267</v>
      </c>
      <c r="AS49" t="s">
        <v>1268</v>
      </c>
      <c r="AT49" t="s">
        <v>1269</v>
      </c>
      <c r="AU49" t="s">
        <v>1270</v>
      </c>
    </row>
    <row r="50" spans="1:47" x14ac:dyDescent="0.25">
      <c r="A50" s="1" t="s">
        <v>1083</v>
      </c>
      <c r="B50" s="1" t="s">
        <v>1084</v>
      </c>
      <c r="C50" s="1" t="s">
        <v>1084</v>
      </c>
      <c r="D50" s="1" t="s">
        <v>1085</v>
      </c>
      <c r="E50" s="1" t="s">
        <v>38</v>
      </c>
      <c r="F50" s="1" t="s">
        <v>39</v>
      </c>
      <c r="G50" s="2">
        <v>-300</v>
      </c>
      <c r="H50" s="2">
        <v>28300570.390000001</v>
      </c>
      <c r="I50" s="1" t="s">
        <v>40</v>
      </c>
      <c r="J50" s="1" t="s">
        <v>41</v>
      </c>
      <c r="K50" s="1" t="s">
        <v>1086</v>
      </c>
      <c r="L50" s="1" t="s">
        <v>39</v>
      </c>
      <c r="M50" s="1" t="s">
        <v>39</v>
      </c>
      <c r="P50">
        <v>453498</v>
      </c>
      <c r="Q50" t="s">
        <v>1420</v>
      </c>
      <c r="R50" t="s">
        <v>1286</v>
      </c>
      <c r="T50" t="s">
        <v>1259</v>
      </c>
      <c r="U50">
        <v>300</v>
      </c>
      <c r="V50" s="8">
        <f>G50+U50</f>
        <v>0</v>
      </c>
      <c r="W50">
        <v>0</v>
      </c>
      <c r="X50">
        <v>10</v>
      </c>
      <c r="Y50">
        <v>2</v>
      </c>
      <c r="Z50">
        <v>0</v>
      </c>
      <c r="AA50">
        <v>0</v>
      </c>
      <c r="AB50">
        <v>10003</v>
      </c>
      <c r="AC50" s="4">
        <v>46267</v>
      </c>
      <c r="AD50" t="s">
        <v>1421</v>
      </c>
      <c r="AE50" t="s">
        <v>1083</v>
      </c>
      <c r="AI50" t="s">
        <v>1261</v>
      </c>
      <c r="AJ50" t="s">
        <v>1262</v>
      </c>
      <c r="AK50">
        <v>453498</v>
      </c>
      <c r="AM50" t="s">
        <v>1263</v>
      </c>
      <c r="AN50" t="s">
        <v>1422</v>
      </c>
      <c r="AO50" t="s">
        <v>1423</v>
      </c>
      <c r="AP50" s="5">
        <v>46267.518055555556</v>
      </c>
      <c r="AQ50" t="s">
        <v>1266</v>
      </c>
      <c r="AS50" t="s">
        <v>1268</v>
      </c>
      <c r="AT50" t="s">
        <v>1269</v>
      </c>
      <c r="AU50" t="s">
        <v>1270</v>
      </c>
    </row>
    <row r="51" spans="1:47" x14ac:dyDescent="0.25">
      <c r="A51" s="1" t="s">
        <v>1079</v>
      </c>
      <c r="B51" s="1" t="s">
        <v>1073</v>
      </c>
      <c r="C51" s="1" t="s">
        <v>1080</v>
      </c>
      <c r="D51" s="1" t="s">
        <v>1081</v>
      </c>
      <c r="E51" s="1" t="s">
        <v>38</v>
      </c>
      <c r="F51" s="1" t="s">
        <v>39</v>
      </c>
      <c r="G51" s="2">
        <v>-8060</v>
      </c>
      <c r="H51" s="2">
        <v>28292502.390000001</v>
      </c>
      <c r="I51" s="1" t="s">
        <v>40</v>
      </c>
      <c r="J51" s="1" t="s">
        <v>49</v>
      </c>
      <c r="K51" s="1" t="s">
        <v>1013</v>
      </c>
      <c r="L51" s="1" t="s">
        <v>39</v>
      </c>
      <c r="M51" s="1" t="s">
        <v>1082</v>
      </c>
      <c r="P51">
        <v>9235</v>
      </c>
      <c r="Q51" t="s">
        <v>1424</v>
      </c>
      <c r="R51" t="s">
        <v>1257</v>
      </c>
      <c r="S51" t="s">
        <v>1258</v>
      </c>
      <c r="T51" t="s">
        <v>1259</v>
      </c>
      <c r="U51">
        <v>8060</v>
      </c>
      <c r="V51" s="8">
        <f>G51+U51</f>
        <v>0</v>
      </c>
      <c r="W51">
        <v>0</v>
      </c>
      <c r="X51">
        <v>63</v>
      </c>
      <c r="Y51">
        <v>0</v>
      </c>
      <c r="Z51">
        <v>1</v>
      </c>
      <c r="AA51">
        <v>0</v>
      </c>
      <c r="AB51">
        <v>360317</v>
      </c>
      <c r="AC51" s="4">
        <v>46267</v>
      </c>
      <c r="AD51" t="s">
        <v>1425</v>
      </c>
      <c r="AE51" t="s">
        <v>1079</v>
      </c>
      <c r="AH51" t="s">
        <v>1426</v>
      </c>
      <c r="AI51" t="s">
        <v>1261</v>
      </c>
      <c r="AJ51" t="s">
        <v>1262</v>
      </c>
      <c r="AK51">
        <v>639498</v>
      </c>
      <c r="AL51" t="s">
        <v>1426</v>
      </c>
      <c r="AM51" t="s">
        <v>1263</v>
      </c>
      <c r="AN51" t="s">
        <v>1427</v>
      </c>
      <c r="AO51" t="s">
        <v>1428</v>
      </c>
      <c r="AP51" s="5">
        <v>46267.518750000003</v>
      </c>
      <c r="AQ51" t="s">
        <v>1266</v>
      </c>
      <c r="AR51" t="s">
        <v>1267</v>
      </c>
      <c r="AS51" t="s">
        <v>1268</v>
      </c>
      <c r="AT51" t="s">
        <v>1269</v>
      </c>
      <c r="AU51" t="s">
        <v>1270</v>
      </c>
    </row>
    <row r="52" spans="1:47" x14ac:dyDescent="0.25">
      <c r="A52" s="1" t="s">
        <v>1069</v>
      </c>
      <c r="B52" s="1" t="s">
        <v>1060</v>
      </c>
      <c r="C52" s="1" t="s">
        <v>1060</v>
      </c>
      <c r="D52" s="1" t="s">
        <v>1070</v>
      </c>
      <c r="E52" s="1" t="s">
        <v>38</v>
      </c>
      <c r="F52" s="1" t="s">
        <v>39</v>
      </c>
      <c r="G52" s="2">
        <v>-13927</v>
      </c>
      <c r="H52" s="2">
        <v>28189678.390000001</v>
      </c>
      <c r="I52" s="1" t="s">
        <v>40</v>
      </c>
      <c r="J52" s="1" t="s">
        <v>49</v>
      </c>
      <c r="K52" s="1" t="s">
        <v>1013</v>
      </c>
      <c r="L52" s="1" t="s">
        <v>39</v>
      </c>
      <c r="M52" s="1" t="s">
        <v>1071</v>
      </c>
      <c r="P52">
        <v>9235</v>
      </c>
      <c r="Q52" t="s">
        <v>1424</v>
      </c>
      <c r="R52" t="s">
        <v>1257</v>
      </c>
      <c r="S52" t="s">
        <v>1258</v>
      </c>
      <c r="T52" t="s">
        <v>1259</v>
      </c>
      <c r="U52">
        <v>13927</v>
      </c>
      <c r="V52" s="8">
        <f>G52+U52</f>
        <v>0</v>
      </c>
      <c r="W52">
        <v>0</v>
      </c>
      <c r="X52">
        <v>72</v>
      </c>
      <c r="Y52">
        <v>0</v>
      </c>
      <c r="Z52">
        <v>1</v>
      </c>
      <c r="AA52">
        <v>0</v>
      </c>
      <c r="AB52">
        <v>210407.8</v>
      </c>
      <c r="AC52" s="4">
        <v>46267</v>
      </c>
      <c r="AD52" t="s">
        <v>1438</v>
      </c>
      <c r="AE52" t="s">
        <v>1069</v>
      </c>
      <c r="AH52" t="s">
        <v>1426</v>
      </c>
      <c r="AI52" t="s">
        <v>1261</v>
      </c>
      <c r="AJ52" t="s">
        <v>1262</v>
      </c>
      <c r="AK52">
        <v>639498</v>
      </c>
      <c r="AL52" t="s">
        <v>1426</v>
      </c>
      <c r="AM52" t="s">
        <v>1263</v>
      </c>
      <c r="AN52" t="s">
        <v>1439</v>
      </c>
      <c r="AO52" t="s">
        <v>1440</v>
      </c>
      <c r="AP52" s="5">
        <v>46267.518750000003</v>
      </c>
      <c r="AQ52" t="s">
        <v>1266</v>
      </c>
      <c r="AR52" t="s">
        <v>1267</v>
      </c>
      <c r="AS52" t="s">
        <v>1268</v>
      </c>
      <c r="AT52" t="s">
        <v>1269</v>
      </c>
      <c r="AU52" t="s">
        <v>1270</v>
      </c>
    </row>
    <row r="53" spans="1:47" x14ac:dyDescent="0.25">
      <c r="A53" s="1" t="s">
        <v>1066</v>
      </c>
      <c r="B53" s="1" t="s">
        <v>1060</v>
      </c>
      <c r="C53" s="1" t="s">
        <v>1060</v>
      </c>
      <c r="D53" s="1" t="s">
        <v>1067</v>
      </c>
      <c r="E53" s="1" t="s">
        <v>38</v>
      </c>
      <c r="F53" s="1" t="s">
        <v>39</v>
      </c>
      <c r="G53" s="2">
        <v>-13001</v>
      </c>
      <c r="H53" s="2">
        <v>28176614.390000001</v>
      </c>
      <c r="I53" s="1" t="s">
        <v>40</v>
      </c>
      <c r="J53" s="1" t="s">
        <v>49</v>
      </c>
      <c r="K53" s="1" t="s">
        <v>1013</v>
      </c>
      <c r="L53" s="1" t="s">
        <v>39</v>
      </c>
      <c r="M53" s="1" t="s">
        <v>1068</v>
      </c>
      <c r="P53">
        <v>9235</v>
      </c>
      <c r="Q53" t="s">
        <v>1424</v>
      </c>
      <c r="R53" t="s">
        <v>1257</v>
      </c>
      <c r="S53" t="s">
        <v>1258</v>
      </c>
      <c r="T53" t="s">
        <v>1259</v>
      </c>
      <c r="U53">
        <v>13001</v>
      </c>
      <c r="V53" s="8">
        <f>G53+U53</f>
        <v>0</v>
      </c>
      <c r="W53">
        <v>0</v>
      </c>
      <c r="X53">
        <v>72</v>
      </c>
      <c r="Y53">
        <v>0</v>
      </c>
      <c r="Z53">
        <v>1</v>
      </c>
      <c r="AA53">
        <v>0</v>
      </c>
      <c r="AB53">
        <v>195532.79999999999</v>
      </c>
      <c r="AC53" s="4">
        <v>46267</v>
      </c>
      <c r="AD53" t="s">
        <v>1444</v>
      </c>
      <c r="AE53" t="s">
        <v>1066</v>
      </c>
      <c r="AH53" t="s">
        <v>1426</v>
      </c>
      <c r="AI53" t="s">
        <v>1261</v>
      </c>
      <c r="AJ53" t="s">
        <v>1262</v>
      </c>
      <c r="AK53">
        <v>639498</v>
      </c>
      <c r="AL53" t="s">
        <v>1426</v>
      </c>
      <c r="AM53" t="s">
        <v>1263</v>
      </c>
      <c r="AN53" t="s">
        <v>1445</v>
      </c>
      <c r="AO53" t="s">
        <v>1446</v>
      </c>
      <c r="AP53" s="5">
        <v>46267.518750000003</v>
      </c>
      <c r="AQ53" t="s">
        <v>1266</v>
      </c>
      <c r="AR53" t="s">
        <v>1267</v>
      </c>
      <c r="AS53" t="s">
        <v>1268</v>
      </c>
      <c r="AT53" t="s">
        <v>1269</v>
      </c>
      <c r="AU53" t="s">
        <v>1270</v>
      </c>
    </row>
    <row r="54" spans="1:47" x14ac:dyDescent="0.25">
      <c r="A54" s="1" t="s">
        <v>1046</v>
      </c>
      <c r="B54" s="1" t="s">
        <v>1047</v>
      </c>
      <c r="C54" s="1" t="s">
        <v>1047</v>
      </c>
      <c r="D54" s="1" t="s">
        <v>1048</v>
      </c>
      <c r="E54" s="1" t="s">
        <v>38</v>
      </c>
      <c r="F54" s="1" t="s">
        <v>39</v>
      </c>
      <c r="G54" s="2">
        <v>-7076</v>
      </c>
      <c r="H54" s="2">
        <v>28108044.390000001</v>
      </c>
      <c r="I54" s="1" t="s">
        <v>40</v>
      </c>
      <c r="J54" s="1" t="s">
        <v>49</v>
      </c>
      <c r="K54" s="1" t="s">
        <v>1013</v>
      </c>
      <c r="L54" s="1" t="s">
        <v>39</v>
      </c>
      <c r="M54" s="1" t="s">
        <v>1049</v>
      </c>
      <c r="P54">
        <v>9235</v>
      </c>
      <c r="Q54" t="s">
        <v>1424</v>
      </c>
      <c r="R54" t="s">
        <v>1257</v>
      </c>
      <c r="S54" t="s">
        <v>1258</v>
      </c>
      <c r="T54" t="s">
        <v>1259</v>
      </c>
      <c r="U54">
        <v>7076</v>
      </c>
      <c r="V54" s="8">
        <f>G54+U54</f>
        <v>0</v>
      </c>
      <c r="W54">
        <v>0</v>
      </c>
      <c r="X54">
        <v>57</v>
      </c>
      <c r="Y54">
        <v>0</v>
      </c>
      <c r="Z54">
        <v>1</v>
      </c>
      <c r="AA54">
        <v>0</v>
      </c>
      <c r="AB54">
        <v>159530.79999999999</v>
      </c>
      <c r="AC54" s="4">
        <v>46267</v>
      </c>
      <c r="AD54" t="s">
        <v>1460</v>
      </c>
      <c r="AE54" t="s">
        <v>1046</v>
      </c>
      <c r="AH54" t="s">
        <v>1426</v>
      </c>
      <c r="AI54" t="s">
        <v>1261</v>
      </c>
      <c r="AJ54" t="s">
        <v>1262</v>
      </c>
      <c r="AK54">
        <v>639498</v>
      </c>
      <c r="AL54" t="s">
        <v>1426</v>
      </c>
      <c r="AM54" t="s">
        <v>1263</v>
      </c>
      <c r="AN54" t="s">
        <v>1461</v>
      </c>
      <c r="AO54" t="s">
        <v>1462</v>
      </c>
      <c r="AP54" s="5">
        <v>46267.518750000003</v>
      </c>
      <c r="AQ54" t="s">
        <v>1266</v>
      </c>
      <c r="AR54" t="s">
        <v>1267</v>
      </c>
      <c r="AS54" t="s">
        <v>1268</v>
      </c>
      <c r="AT54" t="s">
        <v>1269</v>
      </c>
      <c r="AU54" t="s">
        <v>1270</v>
      </c>
    </row>
    <row r="55" spans="1:47" x14ac:dyDescent="0.25">
      <c r="A55" s="1" t="s">
        <v>1040</v>
      </c>
      <c r="B55" s="1" t="s">
        <v>1033</v>
      </c>
      <c r="C55" s="1" t="s">
        <v>1033</v>
      </c>
      <c r="D55" s="1" t="s">
        <v>1041</v>
      </c>
      <c r="E55" s="1" t="s">
        <v>38</v>
      </c>
      <c r="F55" s="1" t="s">
        <v>39</v>
      </c>
      <c r="G55" s="2">
        <v>-15239</v>
      </c>
      <c r="H55" s="2">
        <v>28091239.390000001</v>
      </c>
      <c r="I55" s="1" t="s">
        <v>40</v>
      </c>
      <c r="J55" s="1" t="s">
        <v>49</v>
      </c>
      <c r="K55" s="1" t="s">
        <v>1013</v>
      </c>
      <c r="L55" s="1" t="s">
        <v>39</v>
      </c>
      <c r="M55" s="1" t="s">
        <v>1042</v>
      </c>
      <c r="P55">
        <v>9235</v>
      </c>
      <c r="Q55" t="s">
        <v>1424</v>
      </c>
      <c r="R55" t="s">
        <v>1257</v>
      </c>
      <c r="S55" t="s">
        <v>1258</v>
      </c>
      <c r="T55" t="s">
        <v>1259</v>
      </c>
      <c r="U55">
        <v>15239</v>
      </c>
      <c r="V55" s="8">
        <f>G55+U55</f>
        <v>0</v>
      </c>
      <c r="W55">
        <v>0</v>
      </c>
      <c r="X55">
        <v>82</v>
      </c>
      <c r="Y55">
        <v>0</v>
      </c>
      <c r="Z55">
        <v>1</v>
      </c>
      <c r="AA55">
        <v>0</v>
      </c>
      <c r="AB55">
        <v>142682.79999999999</v>
      </c>
      <c r="AC55" s="4">
        <v>46267</v>
      </c>
      <c r="AD55" t="s">
        <v>1466</v>
      </c>
      <c r="AE55" t="s">
        <v>1040</v>
      </c>
      <c r="AH55" t="s">
        <v>1426</v>
      </c>
      <c r="AI55" t="s">
        <v>1261</v>
      </c>
      <c r="AJ55" t="s">
        <v>1262</v>
      </c>
      <c r="AK55">
        <v>639498</v>
      </c>
      <c r="AL55" t="s">
        <v>1426</v>
      </c>
      <c r="AM55" t="s">
        <v>1263</v>
      </c>
      <c r="AN55" t="s">
        <v>1467</v>
      </c>
      <c r="AO55" t="s">
        <v>1468</v>
      </c>
      <c r="AP55" s="5">
        <v>46267.518750000003</v>
      </c>
      <c r="AQ55" t="s">
        <v>1266</v>
      </c>
      <c r="AR55" t="s">
        <v>1267</v>
      </c>
      <c r="AS55" t="s">
        <v>1268</v>
      </c>
      <c r="AT55" t="s">
        <v>1269</v>
      </c>
      <c r="AU55" t="s">
        <v>1270</v>
      </c>
    </row>
    <row r="56" spans="1:47" x14ac:dyDescent="0.25">
      <c r="A56" s="1" t="s">
        <v>1032</v>
      </c>
      <c r="B56" s="1" t="s">
        <v>1029</v>
      </c>
      <c r="C56" s="1" t="s">
        <v>1033</v>
      </c>
      <c r="D56" s="1" t="s">
        <v>1034</v>
      </c>
      <c r="E56" s="1" t="s">
        <v>38</v>
      </c>
      <c r="F56" s="1" t="s">
        <v>39</v>
      </c>
      <c r="G56" s="2">
        <v>-6935</v>
      </c>
      <c r="H56" s="2">
        <v>28080870.390000001</v>
      </c>
      <c r="I56" s="1" t="s">
        <v>40</v>
      </c>
      <c r="J56" s="1" t="s">
        <v>49</v>
      </c>
      <c r="K56" s="1" t="s">
        <v>1035</v>
      </c>
      <c r="L56" s="1" t="s">
        <v>39</v>
      </c>
      <c r="M56" s="1" t="s">
        <v>1036</v>
      </c>
      <c r="P56">
        <v>9235</v>
      </c>
      <c r="Q56" t="s">
        <v>1424</v>
      </c>
      <c r="R56" t="s">
        <v>1257</v>
      </c>
      <c r="S56" t="s">
        <v>1258</v>
      </c>
      <c r="T56" t="s">
        <v>1259</v>
      </c>
      <c r="U56">
        <v>6935</v>
      </c>
      <c r="V56" s="8">
        <f>G56+U56</f>
        <v>0</v>
      </c>
      <c r="W56">
        <v>0</v>
      </c>
      <c r="X56">
        <v>57</v>
      </c>
      <c r="Y56">
        <v>0</v>
      </c>
      <c r="Z56">
        <v>1</v>
      </c>
      <c r="AA56">
        <v>0</v>
      </c>
      <c r="AB56">
        <v>181073.8</v>
      </c>
      <c r="AC56" s="4">
        <v>46267</v>
      </c>
      <c r="AD56" t="s">
        <v>1450</v>
      </c>
      <c r="AE56" t="s">
        <v>1032</v>
      </c>
      <c r="AH56" t="s">
        <v>1451</v>
      </c>
      <c r="AI56" t="s">
        <v>1261</v>
      </c>
      <c r="AJ56" t="s">
        <v>1262</v>
      </c>
      <c r="AK56">
        <v>644700</v>
      </c>
      <c r="AL56" t="s">
        <v>1451</v>
      </c>
      <c r="AM56" t="s">
        <v>1263</v>
      </c>
      <c r="AN56" t="s">
        <v>1452</v>
      </c>
      <c r="AO56" t="s">
        <v>1453</v>
      </c>
      <c r="AP56" s="5">
        <v>46267.518750000003</v>
      </c>
      <c r="AQ56" t="s">
        <v>1266</v>
      </c>
      <c r="AR56" t="s">
        <v>1267</v>
      </c>
      <c r="AS56" t="s">
        <v>1268</v>
      </c>
      <c r="AT56" t="s">
        <v>1269</v>
      </c>
      <c r="AU56" t="s">
        <v>1270</v>
      </c>
    </row>
    <row r="57" spans="1:47" x14ac:dyDescent="0.25">
      <c r="A57" s="1" t="s">
        <v>1022</v>
      </c>
      <c r="B57" s="1" t="s">
        <v>1019</v>
      </c>
      <c r="C57" s="1" t="s">
        <v>1019</v>
      </c>
      <c r="D57" s="1" t="s">
        <v>1023</v>
      </c>
      <c r="E57" s="1" t="s">
        <v>38</v>
      </c>
      <c r="F57" s="1" t="s">
        <v>39</v>
      </c>
      <c r="G57" s="2">
        <v>-3762</v>
      </c>
      <c r="H57" s="2">
        <v>28044408.390000001</v>
      </c>
      <c r="I57" s="1" t="s">
        <v>40</v>
      </c>
      <c r="J57" s="1" t="s">
        <v>49</v>
      </c>
      <c r="K57" s="1" t="s">
        <v>1013</v>
      </c>
      <c r="L57" s="1" t="s">
        <v>39</v>
      </c>
      <c r="M57" s="1" t="s">
        <v>1024</v>
      </c>
      <c r="P57">
        <v>9235</v>
      </c>
      <c r="Q57" t="s">
        <v>1424</v>
      </c>
      <c r="R57" t="s">
        <v>1257</v>
      </c>
      <c r="S57" t="s">
        <v>1258</v>
      </c>
      <c r="T57" t="s">
        <v>1259</v>
      </c>
      <c r="U57">
        <v>3762</v>
      </c>
      <c r="V57" s="8">
        <f>G57+U57</f>
        <v>0</v>
      </c>
      <c r="W57">
        <v>0</v>
      </c>
      <c r="X57">
        <v>49</v>
      </c>
      <c r="Y57">
        <v>0</v>
      </c>
      <c r="Z57">
        <v>1</v>
      </c>
      <c r="AA57">
        <v>0</v>
      </c>
      <c r="AB57">
        <v>59726.6</v>
      </c>
      <c r="AC57" s="4">
        <v>46267</v>
      </c>
      <c r="AD57" t="s">
        <v>1478</v>
      </c>
      <c r="AE57" t="s">
        <v>1022</v>
      </c>
      <c r="AH57" t="s">
        <v>1426</v>
      </c>
      <c r="AI57" t="s">
        <v>1261</v>
      </c>
      <c r="AJ57" t="s">
        <v>1262</v>
      </c>
      <c r="AK57">
        <v>639498</v>
      </c>
      <c r="AL57" t="s">
        <v>1426</v>
      </c>
      <c r="AM57" t="s">
        <v>1263</v>
      </c>
      <c r="AN57" t="s">
        <v>1479</v>
      </c>
      <c r="AO57" t="s">
        <v>1480</v>
      </c>
      <c r="AP57" s="5">
        <v>46267.518750000003</v>
      </c>
      <c r="AQ57" t="s">
        <v>1266</v>
      </c>
      <c r="AR57" t="s">
        <v>1267</v>
      </c>
      <c r="AS57" t="s">
        <v>1268</v>
      </c>
      <c r="AT57" t="s">
        <v>1269</v>
      </c>
      <c r="AU57" t="s">
        <v>1270</v>
      </c>
    </row>
    <row r="58" spans="1:47" x14ac:dyDescent="0.25">
      <c r="A58" s="1" t="s">
        <v>1015</v>
      </c>
      <c r="B58" s="1" t="s">
        <v>1011</v>
      </c>
      <c r="C58" s="1" t="s">
        <v>1011</v>
      </c>
      <c r="D58" s="1" t="s">
        <v>1016</v>
      </c>
      <c r="E58" s="1" t="s">
        <v>38</v>
      </c>
      <c r="F58" s="1" t="s">
        <v>39</v>
      </c>
      <c r="G58" s="2">
        <v>-15332</v>
      </c>
      <c r="H58" s="2">
        <v>28024779.390000001</v>
      </c>
      <c r="I58" s="1" t="s">
        <v>40</v>
      </c>
      <c r="J58" s="1" t="s">
        <v>49</v>
      </c>
      <c r="K58" s="1" t="s">
        <v>1013</v>
      </c>
      <c r="L58" s="1" t="s">
        <v>39</v>
      </c>
      <c r="M58" s="1" t="s">
        <v>1017</v>
      </c>
      <c r="P58">
        <v>9235</v>
      </c>
      <c r="Q58" t="s">
        <v>1424</v>
      </c>
      <c r="R58" t="s">
        <v>1257</v>
      </c>
      <c r="S58" t="s">
        <v>1258</v>
      </c>
      <c r="T58" t="s">
        <v>1259</v>
      </c>
      <c r="U58">
        <v>15332</v>
      </c>
      <c r="V58" s="8">
        <f>G58+U58</f>
        <v>0</v>
      </c>
      <c r="W58">
        <v>0</v>
      </c>
      <c r="X58">
        <v>82</v>
      </c>
      <c r="Y58">
        <v>0</v>
      </c>
      <c r="Z58">
        <v>1</v>
      </c>
      <c r="AA58">
        <v>0</v>
      </c>
      <c r="AB58">
        <v>37462</v>
      </c>
      <c r="AC58" s="4">
        <v>46267</v>
      </c>
      <c r="AD58" t="s">
        <v>1484</v>
      </c>
      <c r="AE58" t="s">
        <v>1015</v>
      </c>
      <c r="AH58" t="s">
        <v>1426</v>
      </c>
      <c r="AI58" t="s">
        <v>1261</v>
      </c>
      <c r="AJ58" t="s">
        <v>1262</v>
      </c>
      <c r="AK58">
        <v>639498</v>
      </c>
      <c r="AL58" t="s">
        <v>1426</v>
      </c>
      <c r="AM58" t="s">
        <v>1263</v>
      </c>
      <c r="AN58" t="s">
        <v>1485</v>
      </c>
      <c r="AO58" t="s">
        <v>1486</v>
      </c>
      <c r="AP58" s="5">
        <v>46267.518750000003</v>
      </c>
      <c r="AQ58" t="s">
        <v>1266</v>
      </c>
      <c r="AR58" t="s">
        <v>1267</v>
      </c>
      <c r="AS58" t="s">
        <v>1268</v>
      </c>
      <c r="AT58" t="s">
        <v>1269</v>
      </c>
      <c r="AU58" t="s">
        <v>1270</v>
      </c>
    </row>
    <row r="59" spans="1:47" x14ac:dyDescent="0.25">
      <c r="A59" s="1" t="s">
        <v>972</v>
      </c>
      <c r="B59" s="1" t="s">
        <v>973</v>
      </c>
      <c r="C59" s="1" t="s">
        <v>973</v>
      </c>
      <c r="D59" s="1" t="s">
        <v>974</v>
      </c>
      <c r="E59" s="1" t="s">
        <v>38</v>
      </c>
      <c r="F59" s="1" t="s">
        <v>39</v>
      </c>
      <c r="G59" s="2">
        <v>-17688</v>
      </c>
      <c r="H59" s="2">
        <v>6009425.6399999997</v>
      </c>
      <c r="I59" s="1" t="s">
        <v>40</v>
      </c>
      <c r="J59" s="1" t="s">
        <v>41</v>
      </c>
      <c r="K59" s="1" t="s">
        <v>975</v>
      </c>
      <c r="L59" s="1" t="s">
        <v>39</v>
      </c>
      <c r="M59" s="1" t="s">
        <v>39</v>
      </c>
      <c r="P59">
        <v>110311</v>
      </c>
      <c r="Q59" t="s">
        <v>1415</v>
      </c>
      <c r="R59" t="s">
        <v>1416</v>
      </c>
      <c r="S59" t="s">
        <v>1258</v>
      </c>
      <c r="T59" t="s">
        <v>1259</v>
      </c>
      <c r="U59">
        <v>17688</v>
      </c>
      <c r="V59" s="8">
        <f>G59+U59</f>
        <v>0</v>
      </c>
      <c r="W59">
        <v>0</v>
      </c>
      <c r="X59">
        <v>15</v>
      </c>
      <c r="Y59">
        <v>0</v>
      </c>
      <c r="Z59">
        <v>1</v>
      </c>
      <c r="AA59">
        <v>0</v>
      </c>
      <c r="AB59">
        <v>627712</v>
      </c>
      <c r="AC59" s="4">
        <v>46267</v>
      </c>
      <c r="AD59" t="s">
        <v>1512</v>
      </c>
      <c r="AE59" t="s">
        <v>972</v>
      </c>
      <c r="AI59" t="s">
        <v>1261</v>
      </c>
      <c r="AJ59" t="s">
        <v>1262</v>
      </c>
      <c r="AK59">
        <v>9481425</v>
      </c>
      <c r="AM59" t="s">
        <v>1263</v>
      </c>
      <c r="AN59" t="s">
        <v>1513</v>
      </c>
      <c r="AO59" t="s">
        <v>1514</v>
      </c>
      <c r="AP59" s="5">
        <v>46267.55972222222</v>
      </c>
      <c r="AQ59" t="s">
        <v>1266</v>
      </c>
      <c r="AS59" t="s">
        <v>1268</v>
      </c>
      <c r="AT59" t="s">
        <v>1269</v>
      </c>
      <c r="AU59" t="s">
        <v>1270</v>
      </c>
    </row>
    <row r="60" spans="1:47" x14ac:dyDescent="0.25">
      <c r="A60" s="1" t="s">
        <v>942</v>
      </c>
      <c r="B60" s="1" t="s">
        <v>943</v>
      </c>
      <c r="C60" s="1" t="s">
        <v>943</v>
      </c>
      <c r="D60" s="1" t="s">
        <v>126</v>
      </c>
      <c r="E60" s="1" t="s">
        <v>38</v>
      </c>
      <c r="F60" s="1" t="s">
        <v>39</v>
      </c>
      <c r="G60" s="2">
        <v>-3900</v>
      </c>
      <c r="H60" s="2">
        <v>5961709.6399999997</v>
      </c>
      <c r="I60" s="1" t="s">
        <v>40</v>
      </c>
      <c r="J60" s="1" t="s">
        <v>41</v>
      </c>
      <c r="K60" s="1" t="s">
        <v>82</v>
      </c>
      <c r="L60" s="1" t="s">
        <v>39</v>
      </c>
      <c r="M60" s="1" t="s">
        <v>39</v>
      </c>
      <c r="P60">
        <v>80417</v>
      </c>
      <c r="Q60" t="s">
        <v>1535</v>
      </c>
      <c r="R60" t="s">
        <v>1272</v>
      </c>
      <c r="S60" t="s">
        <v>1258</v>
      </c>
      <c r="T60" t="s">
        <v>1259</v>
      </c>
      <c r="U60">
        <v>3900</v>
      </c>
      <c r="V60" s="8">
        <f>G60+U60</f>
        <v>0</v>
      </c>
      <c r="W60">
        <v>0</v>
      </c>
      <c r="X60">
        <v>15</v>
      </c>
      <c r="Y60">
        <v>0</v>
      </c>
      <c r="Z60">
        <v>1</v>
      </c>
      <c r="AA60">
        <v>0</v>
      </c>
      <c r="AB60">
        <v>3013.8139999999999</v>
      </c>
      <c r="AC60" s="4">
        <v>46267</v>
      </c>
      <c r="AD60" t="s">
        <v>1536</v>
      </c>
      <c r="AE60" t="s">
        <v>942</v>
      </c>
      <c r="AI60" t="s">
        <v>1261</v>
      </c>
      <c r="AJ60" t="s">
        <v>1262</v>
      </c>
      <c r="AK60">
        <v>9246253</v>
      </c>
      <c r="AM60" t="s">
        <v>1263</v>
      </c>
      <c r="AN60" t="s">
        <v>1537</v>
      </c>
      <c r="AO60" t="s">
        <v>1275</v>
      </c>
      <c r="AP60" s="5">
        <v>46267.594444444447</v>
      </c>
      <c r="AQ60" t="s">
        <v>1266</v>
      </c>
      <c r="AS60" t="s">
        <v>1268</v>
      </c>
      <c r="AT60" t="s">
        <v>1269</v>
      </c>
      <c r="AU60" t="s">
        <v>1270</v>
      </c>
    </row>
    <row r="61" spans="1:47" x14ac:dyDescent="0.25">
      <c r="A61" s="1" t="s">
        <v>927</v>
      </c>
      <c r="B61" s="1" t="s">
        <v>928</v>
      </c>
      <c r="C61" s="1" t="s">
        <v>928</v>
      </c>
      <c r="D61" s="1" t="s">
        <v>929</v>
      </c>
      <c r="E61" s="1" t="s">
        <v>38</v>
      </c>
      <c r="F61" s="1" t="s">
        <v>39</v>
      </c>
      <c r="G61" s="2">
        <v>-6500</v>
      </c>
      <c r="H61" s="2">
        <v>5867952.6399999997</v>
      </c>
      <c r="I61" s="1" t="s">
        <v>40</v>
      </c>
      <c r="J61" s="1" t="s">
        <v>49</v>
      </c>
      <c r="K61" s="1" t="s">
        <v>930</v>
      </c>
      <c r="L61" s="1" t="s">
        <v>39</v>
      </c>
      <c r="M61" s="1" t="s">
        <v>931</v>
      </c>
      <c r="P61">
        <v>1592688</v>
      </c>
      <c r="Q61" t="s">
        <v>1549</v>
      </c>
      <c r="R61" t="s">
        <v>1286</v>
      </c>
      <c r="T61" t="s">
        <v>1259</v>
      </c>
      <c r="U61">
        <v>6500</v>
      </c>
      <c r="V61" s="8">
        <f>G61+U61</f>
        <v>0</v>
      </c>
      <c r="W61">
        <v>0</v>
      </c>
      <c r="X61">
        <v>57</v>
      </c>
      <c r="Y61">
        <v>16</v>
      </c>
      <c r="Z61">
        <v>0</v>
      </c>
      <c r="AA61">
        <v>0</v>
      </c>
      <c r="AB61">
        <v>457</v>
      </c>
      <c r="AC61" s="4">
        <v>46267</v>
      </c>
      <c r="AD61" t="s">
        <v>1550</v>
      </c>
      <c r="AE61" t="s">
        <v>927</v>
      </c>
      <c r="AH61" t="s">
        <v>1551</v>
      </c>
      <c r="AI61" t="s">
        <v>1261</v>
      </c>
      <c r="AJ61" t="s">
        <v>1262</v>
      </c>
      <c r="AK61">
        <v>1592688</v>
      </c>
      <c r="AL61" t="s">
        <v>1551</v>
      </c>
      <c r="AM61" t="s">
        <v>1263</v>
      </c>
      <c r="AN61" t="s">
        <v>1552</v>
      </c>
      <c r="AO61" t="s">
        <v>1553</v>
      </c>
      <c r="AP61" s="5">
        <v>46267.604861111111</v>
      </c>
      <c r="AQ61" t="s">
        <v>1266</v>
      </c>
      <c r="AS61" t="s">
        <v>1268</v>
      </c>
      <c r="AT61" t="s">
        <v>1269</v>
      </c>
      <c r="AU61" t="s">
        <v>1270</v>
      </c>
    </row>
    <row r="62" spans="1:47" x14ac:dyDescent="0.25">
      <c r="A62" s="1" t="s">
        <v>1072</v>
      </c>
      <c r="B62" s="1" t="s">
        <v>1073</v>
      </c>
      <c r="C62" s="1" t="s">
        <v>1073</v>
      </c>
      <c r="D62" s="1" t="s">
        <v>1074</v>
      </c>
      <c r="E62" s="1" t="s">
        <v>38</v>
      </c>
      <c r="F62" s="1" t="s">
        <v>39</v>
      </c>
      <c r="G62" s="2">
        <v>-82390</v>
      </c>
      <c r="H62" s="2">
        <v>28203720.390000001</v>
      </c>
      <c r="I62" s="1" t="s">
        <v>40</v>
      </c>
      <c r="J62" s="1" t="s">
        <v>49</v>
      </c>
      <c r="K62" s="1" t="s">
        <v>1013</v>
      </c>
      <c r="L62" s="1" t="s">
        <v>39</v>
      </c>
      <c r="M62" s="1" t="s">
        <v>1075</v>
      </c>
      <c r="P62">
        <v>9235</v>
      </c>
      <c r="Q62" t="s">
        <v>1424</v>
      </c>
      <c r="R62" t="s">
        <v>1257</v>
      </c>
      <c r="S62" t="s">
        <v>1258</v>
      </c>
      <c r="T62" t="s">
        <v>1259</v>
      </c>
      <c r="U62">
        <v>82390</v>
      </c>
      <c r="V62" s="8">
        <f>G62+U62</f>
        <v>0</v>
      </c>
      <c r="W62">
        <v>0</v>
      </c>
      <c r="X62">
        <v>136</v>
      </c>
      <c r="Y62">
        <v>0</v>
      </c>
      <c r="Z62">
        <v>1</v>
      </c>
      <c r="AA62">
        <v>0</v>
      </c>
      <c r="AB62">
        <v>262223.8</v>
      </c>
      <c r="AC62" s="4">
        <v>46267</v>
      </c>
      <c r="AD62" t="s">
        <v>1432</v>
      </c>
      <c r="AE62" t="s">
        <v>1072</v>
      </c>
      <c r="AH62" t="s">
        <v>1426</v>
      </c>
      <c r="AI62" t="s">
        <v>1261</v>
      </c>
      <c r="AJ62" t="s">
        <v>1262</v>
      </c>
      <c r="AK62">
        <v>639498</v>
      </c>
      <c r="AL62" t="s">
        <v>1426</v>
      </c>
      <c r="AM62" t="s">
        <v>1263</v>
      </c>
      <c r="AN62" t="s">
        <v>1433</v>
      </c>
      <c r="AO62" t="s">
        <v>1434</v>
      </c>
      <c r="AP62" s="5">
        <v>46267.518750000003</v>
      </c>
      <c r="AQ62" t="s">
        <v>1266</v>
      </c>
      <c r="AR62" t="s">
        <v>1267</v>
      </c>
      <c r="AS62" t="s">
        <v>1268</v>
      </c>
      <c r="AT62" t="s">
        <v>1269</v>
      </c>
      <c r="AU62" t="s">
        <v>1270</v>
      </c>
    </row>
    <row r="63" spans="1:47" x14ac:dyDescent="0.25">
      <c r="A63" s="1" t="s">
        <v>1063</v>
      </c>
      <c r="B63" s="1" t="s">
        <v>1060</v>
      </c>
      <c r="C63" s="1" t="s">
        <v>1060</v>
      </c>
      <c r="D63" s="1" t="s">
        <v>1064</v>
      </c>
      <c r="E63" s="1" t="s">
        <v>38</v>
      </c>
      <c r="F63" s="1" t="s">
        <v>39</v>
      </c>
      <c r="G63" s="2">
        <v>-37690</v>
      </c>
      <c r="H63" s="2">
        <v>28138861.390000001</v>
      </c>
      <c r="I63" s="1" t="s">
        <v>40</v>
      </c>
      <c r="J63" s="1" t="s">
        <v>49</v>
      </c>
      <c r="K63" s="1" t="s">
        <v>1013</v>
      </c>
      <c r="L63" s="1" t="s">
        <v>39</v>
      </c>
      <c r="M63" s="1" t="s">
        <v>1065</v>
      </c>
      <c r="P63">
        <v>9235</v>
      </c>
      <c r="Q63" t="s">
        <v>1424</v>
      </c>
      <c r="R63" t="s">
        <v>1257</v>
      </c>
      <c r="S63" t="s">
        <v>1258</v>
      </c>
      <c r="T63" t="s">
        <v>1259</v>
      </c>
      <c r="U63">
        <v>37690</v>
      </c>
      <c r="V63" s="8">
        <f>G63+U63</f>
        <v>0</v>
      </c>
      <c r="W63">
        <v>0</v>
      </c>
      <c r="X63">
        <v>125</v>
      </c>
      <c r="Y63">
        <v>0</v>
      </c>
      <c r="Z63">
        <v>1</v>
      </c>
      <c r="AA63">
        <v>0</v>
      </c>
      <c r="AB63">
        <v>224407.8</v>
      </c>
      <c r="AC63" s="4">
        <v>46267</v>
      </c>
      <c r="AD63" t="s">
        <v>1435</v>
      </c>
      <c r="AE63" t="s">
        <v>1063</v>
      </c>
      <c r="AH63" t="s">
        <v>1426</v>
      </c>
      <c r="AI63" t="s">
        <v>1261</v>
      </c>
      <c r="AJ63" t="s">
        <v>1262</v>
      </c>
      <c r="AK63">
        <v>639498</v>
      </c>
      <c r="AL63" t="s">
        <v>1426</v>
      </c>
      <c r="AM63" t="s">
        <v>1263</v>
      </c>
      <c r="AN63" t="s">
        <v>1436</v>
      </c>
      <c r="AO63" t="s">
        <v>1437</v>
      </c>
      <c r="AP63" s="5">
        <v>46267.518750000003</v>
      </c>
      <c r="AQ63" t="s">
        <v>1266</v>
      </c>
      <c r="AR63" t="s">
        <v>1267</v>
      </c>
      <c r="AS63" t="s">
        <v>1268</v>
      </c>
      <c r="AT63" t="s">
        <v>1269</v>
      </c>
      <c r="AU63" t="s">
        <v>1270</v>
      </c>
    </row>
    <row r="64" spans="1:47" x14ac:dyDescent="0.25">
      <c r="A64" s="1" t="s">
        <v>1056</v>
      </c>
      <c r="B64" s="1" t="s">
        <v>1047</v>
      </c>
      <c r="C64" s="1" t="s">
        <v>1047</v>
      </c>
      <c r="D64" s="1" t="s">
        <v>1057</v>
      </c>
      <c r="E64" s="1" t="s">
        <v>38</v>
      </c>
      <c r="F64" s="1" t="s">
        <v>39</v>
      </c>
      <c r="G64" s="2">
        <v>-1765</v>
      </c>
      <c r="H64" s="2">
        <v>28129534.390000001</v>
      </c>
      <c r="I64" s="1" t="s">
        <v>40</v>
      </c>
      <c r="J64" s="1" t="s">
        <v>49</v>
      </c>
      <c r="K64" s="1" t="s">
        <v>1013</v>
      </c>
      <c r="L64" s="1" t="s">
        <v>39</v>
      </c>
      <c r="M64" s="1" t="s">
        <v>1058</v>
      </c>
      <c r="P64">
        <v>9235</v>
      </c>
      <c r="Q64" t="s">
        <v>1424</v>
      </c>
      <c r="R64" t="s">
        <v>1257</v>
      </c>
      <c r="S64" t="s">
        <v>1258</v>
      </c>
      <c r="T64" t="s">
        <v>1259</v>
      </c>
      <c r="U64">
        <v>1765</v>
      </c>
      <c r="V64" s="8">
        <f>G64+U64</f>
        <v>0</v>
      </c>
      <c r="W64">
        <v>0</v>
      </c>
      <c r="X64">
        <v>35</v>
      </c>
      <c r="Y64">
        <v>0</v>
      </c>
      <c r="Z64">
        <v>1</v>
      </c>
      <c r="AA64">
        <v>0</v>
      </c>
      <c r="AB64">
        <v>208606.8</v>
      </c>
      <c r="AC64" s="4">
        <v>46267</v>
      </c>
      <c r="AD64" t="s">
        <v>1441</v>
      </c>
      <c r="AE64" t="s">
        <v>1056</v>
      </c>
      <c r="AH64" t="s">
        <v>1426</v>
      </c>
      <c r="AI64" t="s">
        <v>1261</v>
      </c>
      <c r="AJ64" t="s">
        <v>1262</v>
      </c>
      <c r="AK64">
        <v>639498</v>
      </c>
      <c r="AL64" t="s">
        <v>1426</v>
      </c>
      <c r="AM64" t="s">
        <v>1263</v>
      </c>
      <c r="AN64" t="s">
        <v>1442</v>
      </c>
      <c r="AO64" t="s">
        <v>1443</v>
      </c>
      <c r="AP64" s="5">
        <v>46267.518750000003</v>
      </c>
      <c r="AQ64" t="s">
        <v>1266</v>
      </c>
      <c r="AR64" t="s">
        <v>1267</v>
      </c>
      <c r="AS64" t="s">
        <v>1268</v>
      </c>
      <c r="AT64" t="s">
        <v>1269</v>
      </c>
      <c r="AU64" t="s">
        <v>1270</v>
      </c>
    </row>
    <row r="65" spans="1:47" x14ac:dyDescent="0.25">
      <c r="A65" s="1" t="s">
        <v>985</v>
      </c>
      <c r="B65" s="1" t="s">
        <v>986</v>
      </c>
      <c r="C65" s="1" t="s">
        <v>986</v>
      </c>
      <c r="D65" s="1" t="s">
        <v>987</v>
      </c>
      <c r="E65" s="1" t="s">
        <v>38</v>
      </c>
      <c r="F65" s="1" t="s">
        <v>39</v>
      </c>
      <c r="G65" s="2">
        <v>-2000</v>
      </c>
      <c r="H65" s="2">
        <v>6031245.6399999997</v>
      </c>
      <c r="I65" s="1" t="s">
        <v>40</v>
      </c>
      <c r="J65" s="1" t="s">
        <v>41</v>
      </c>
      <c r="K65" s="1" t="s">
        <v>988</v>
      </c>
      <c r="L65" s="1" t="s">
        <v>39</v>
      </c>
      <c r="M65" s="1" t="s">
        <v>39</v>
      </c>
      <c r="P65">
        <v>36302</v>
      </c>
      <c r="Q65" t="s">
        <v>1502</v>
      </c>
      <c r="R65" t="s">
        <v>1257</v>
      </c>
      <c r="S65" t="s">
        <v>1258</v>
      </c>
      <c r="T65" t="s">
        <v>1259</v>
      </c>
      <c r="U65">
        <v>2000</v>
      </c>
      <c r="V65" s="8">
        <f>G65+U65</f>
        <v>0</v>
      </c>
      <c r="W65">
        <v>0</v>
      </c>
      <c r="X65">
        <v>10</v>
      </c>
      <c r="Y65">
        <v>0</v>
      </c>
      <c r="Z65">
        <v>1</v>
      </c>
      <c r="AA65">
        <v>0</v>
      </c>
      <c r="AB65">
        <v>323601</v>
      </c>
      <c r="AC65" s="4">
        <v>46267</v>
      </c>
      <c r="AD65" t="s">
        <v>1503</v>
      </c>
      <c r="AE65" t="s">
        <v>985</v>
      </c>
      <c r="AI65" t="s">
        <v>1261</v>
      </c>
      <c r="AJ65" t="s">
        <v>1262</v>
      </c>
      <c r="AK65">
        <v>4961328</v>
      </c>
      <c r="AM65" t="s">
        <v>1263</v>
      </c>
      <c r="AN65" t="s">
        <v>1504</v>
      </c>
      <c r="AO65" t="s">
        <v>1505</v>
      </c>
      <c r="AP65" s="5">
        <v>46267.540277777778</v>
      </c>
      <c r="AQ65" t="s">
        <v>1266</v>
      </c>
      <c r="AS65" t="s">
        <v>1268</v>
      </c>
      <c r="AT65" t="s">
        <v>1269</v>
      </c>
      <c r="AU65" t="s">
        <v>1270</v>
      </c>
    </row>
    <row r="66" spans="1:47" x14ac:dyDescent="0.25">
      <c r="A66" s="1" t="s">
        <v>976</v>
      </c>
      <c r="B66" s="1" t="s">
        <v>977</v>
      </c>
      <c r="C66" s="1" t="s">
        <v>977</v>
      </c>
      <c r="D66" s="1" t="s">
        <v>978</v>
      </c>
      <c r="E66" s="1" t="s">
        <v>38</v>
      </c>
      <c r="F66" s="1" t="s">
        <v>39</v>
      </c>
      <c r="G66" s="2">
        <v>-65</v>
      </c>
      <c r="H66" s="2">
        <v>6027116.6399999997</v>
      </c>
      <c r="I66" s="1" t="s">
        <v>40</v>
      </c>
      <c r="J66" s="1" t="s">
        <v>41</v>
      </c>
      <c r="K66" s="1" t="s">
        <v>979</v>
      </c>
      <c r="L66" s="1" t="s">
        <v>39</v>
      </c>
      <c r="M66" s="1" t="s">
        <v>39</v>
      </c>
      <c r="P66">
        <v>413570</v>
      </c>
      <c r="Q66" t="s">
        <v>1508</v>
      </c>
      <c r="R66" t="s">
        <v>1286</v>
      </c>
      <c r="T66" t="s">
        <v>1259</v>
      </c>
      <c r="U66">
        <v>65</v>
      </c>
      <c r="V66" s="8">
        <f>G66+U66</f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121</v>
      </c>
      <c r="AC66" s="4">
        <v>46267</v>
      </c>
      <c r="AD66" t="s">
        <v>1509</v>
      </c>
      <c r="AE66" t="s">
        <v>976</v>
      </c>
      <c r="AI66" t="s">
        <v>1261</v>
      </c>
      <c r="AJ66" t="s">
        <v>1262</v>
      </c>
      <c r="AK66">
        <v>413570</v>
      </c>
      <c r="AM66" t="s">
        <v>1263</v>
      </c>
      <c r="AN66" t="s">
        <v>1510</v>
      </c>
      <c r="AO66" t="s">
        <v>1511</v>
      </c>
      <c r="AP66" s="5">
        <v>46267.551388888889</v>
      </c>
      <c r="AQ66" t="s">
        <v>1266</v>
      </c>
      <c r="AS66" t="s">
        <v>1268</v>
      </c>
      <c r="AT66" t="s">
        <v>1269</v>
      </c>
      <c r="AU66" t="s">
        <v>1270</v>
      </c>
    </row>
    <row r="67" spans="1:47" x14ac:dyDescent="0.25">
      <c r="A67" s="1" t="s">
        <v>944</v>
      </c>
      <c r="B67" s="1" t="s">
        <v>945</v>
      </c>
      <c r="C67" s="1" t="s">
        <v>945</v>
      </c>
      <c r="D67" s="1" t="s">
        <v>946</v>
      </c>
      <c r="E67" s="1" t="s">
        <v>38</v>
      </c>
      <c r="F67" s="1" t="s">
        <v>39</v>
      </c>
      <c r="G67" s="2">
        <v>-1000</v>
      </c>
      <c r="H67" s="2">
        <v>5965622.6399999997</v>
      </c>
      <c r="I67" s="1" t="s">
        <v>40</v>
      </c>
      <c r="J67" s="1" t="s">
        <v>49</v>
      </c>
      <c r="K67" s="1" t="s">
        <v>947</v>
      </c>
      <c r="L67" s="1" t="s">
        <v>39</v>
      </c>
      <c r="M67" s="1" t="s">
        <v>948</v>
      </c>
      <c r="P67">
        <v>1003020</v>
      </c>
      <c r="Q67" t="s">
        <v>1379</v>
      </c>
      <c r="R67" t="s">
        <v>1380</v>
      </c>
      <c r="T67" t="s">
        <v>1259</v>
      </c>
      <c r="U67">
        <v>1000</v>
      </c>
      <c r="V67" s="8">
        <f>G67+U67</f>
        <v>0</v>
      </c>
      <c r="W67">
        <v>0</v>
      </c>
      <c r="X67">
        <v>20</v>
      </c>
      <c r="Y67">
        <v>10</v>
      </c>
      <c r="Z67">
        <v>0</v>
      </c>
      <c r="AA67">
        <v>0</v>
      </c>
      <c r="AB67">
        <v>40888.93</v>
      </c>
      <c r="AC67" s="4">
        <v>46267</v>
      </c>
      <c r="AD67" t="s">
        <v>1532</v>
      </c>
      <c r="AE67" t="s">
        <v>944</v>
      </c>
      <c r="AH67" t="s">
        <v>1382</v>
      </c>
      <c r="AI67" t="s">
        <v>1261</v>
      </c>
      <c r="AJ67" t="s">
        <v>1262</v>
      </c>
      <c r="AK67">
        <v>1003020</v>
      </c>
      <c r="AL67" t="s">
        <v>1382</v>
      </c>
      <c r="AM67" t="s">
        <v>1263</v>
      </c>
      <c r="AN67" t="s">
        <v>1533</v>
      </c>
      <c r="AO67" t="s">
        <v>1534</v>
      </c>
      <c r="AP67" s="5">
        <v>46267.59097222222</v>
      </c>
      <c r="AQ67" t="s">
        <v>1266</v>
      </c>
      <c r="AS67" t="s">
        <v>1268</v>
      </c>
      <c r="AT67" t="s">
        <v>1269</v>
      </c>
      <c r="AU67" t="s">
        <v>1270</v>
      </c>
    </row>
    <row r="68" spans="1:47" x14ac:dyDescent="0.25">
      <c r="A68" s="1" t="s">
        <v>967</v>
      </c>
      <c r="B68" s="1" t="s">
        <v>968</v>
      </c>
      <c r="C68" s="1" t="s">
        <v>968</v>
      </c>
      <c r="D68" s="1" t="s">
        <v>969</v>
      </c>
      <c r="E68" s="1" t="s">
        <v>38</v>
      </c>
      <c r="F68" s="1" t="s">
        <v>39</v>
      </c>
      <c r="G68" s="2">
        <v>-450</v>
      </c>
      <c r="H68" s="2">
        <v>6008907.6399999997</v>
      </c>
      <c r="I68" s="1" t="s">
        <v>40</v>
      </c>
      <c r="J68" s="1" t="s">
        <v>49</v>
      </c>
      <c r="K68" s="1" t="s">
        <v>970</v>
      </c>
      <c r="L68" s="1" t="s">
        <v>39</v>
      </c>
      <c r="M68" s="1" t="s">
        <v>971</v>
      </c>
      <c r="O68">
        <v>756756</v>
      </c>
      <c r="P68">
        <v>254757455384</v>
      </c>
      <c r="Q68" t="s">
        <v>1515</v>
      </c>
      <c r="R68" t="s">
        <v>1286</v>
      </c>
      <c r="T68" t="s">
        <v>1259</v>
      </c>
      <c r="U68">
        <v>450</v>
      </c>
      <c r="V68" s="8">
        <f>G68+U68</f>
        <v>0</v>
      </c>
      <c r="W68">
        <v>0</v>
      </c>
      <c r="X68">
        <v>10</v>
      </c>
      <c r="Y68">
        <v>0</v>
      </c>
      <c r="Z68">
        <v>0</v>
      </c>
      <c r="AA68">
        <v>0</v>
      </c>
      <c r="AB68">
        <v>23</v>
      </c>
      <c r="AC68" s="4">
        <v>46267</v>
      </c>
      <c r="AD68" t="s">
        <v>1516</v>
      </c>
      <c r="AE68" t="s">
        <v>967</v>
      </c>
      <c r="AH68" t="s">
        <v>1517</v>
      </c>
      <c r="AI68" t="s">
        <v>1261</v>
      </c>
      <c r="AJ68" t="s">
        <v>1262</v>
      </c>
      <c r="AK68">
        <v>714777</v>
      </c>
      <c r="AL68" t="s">
        <v>1517</v>
      </c>
      <c r="AM68" t="s">
        <v>1263</v>
      </c>
      <c r="AN68" t="s">
        <v>1518</v>
      </c>
      <c r="AO68" s="6" t="s">
        <v>971</v>
      </c>
      <c r="AP68" s="5">
        <v>46267.563888888886</v>
      </c>
      <c r="AQ68" t="s">
        <v>1266</v>
      </c>
      <c r="AR68" t="s">
        <v>1293</v>
      </c>
      <c r="AS68" t="s">
        <v>1268</v>
      </c>
      <c r="AT68" t="s">
        <v>1269</v>
      </c>
      <c r="AU68" t="s">
        <v>1270</v>
      </c>
    </row>
    <row r="69" spans="1:47" x14ac:dyDescent="0.25">
      <c r="A69" s="1" t="s">
        <v>962</v>
      </c>
      <c r="B69" s="1" t="s">
        <v>963</v>
      </c>
      <c r="C69" s="1" t="s">
        <v>964</v>
      </c>
      <c r="D69" s="1" t="s">
        <v>965</v>
      </c>
      <c r="E69" s="1" t="s">
        <v>38</v>
      </c>
      <c r="F69" s="1" t="s">
        <v>39</v>
      </c>
      <c r="G69" s="2">
        <v>-80</v>
      </c>
      <c r="H69" s="2">
        <v>6008819.6399999997</v>
      </c>
      <c r="I69" s="1" t="s">
        <v>40</v>
      </c>
      <c r="J69" s="1" t="s">
        <v>41</v>
      </c>
      <c r="K69" s="1" t="s">
        <v>966</v>
      </c>
      <c r="L69" s="1" t="s">
        <v>39</v>
      </c>
      <c r="M69" s="1" t="s">
        <v>39</v>
      </c>
      <c r="O69">
        <v>756756</v>
      </c>
      <c r="P69">
        <v>164621</v>
      </c>
      <c r="Q69" t="s">
        <v>1519</v>
      </c>
      <c r="R69" t="s">
        <v>1320</v>
      </c>
      <c r="T69" t="s">
        <v>1259</v>
      </c>
      <c r="U69">
        <v>80</v>
      </c>
      <c r="V69" s="8">
        <f>G69+U69</f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7235.94</v>
      </c>
      <c r="AC69" s="4">
        <v>46267</v>
      </c>
      <c r="AD69" t="s">
        <v>1520</v>
      </c>
      <c r="AE69" t="s">
        <v>962</v>
      </c>
      <c r="AI69" t="s">
        <v>1261</v>
      </c>
      <c r="AJ69" t="s">
        <v>1262</v>
      </c>
      <c r="AK69">
        <v>3510637</v>
      </c>
      <c r="AM69" t="s">
        <v>1263</v>
      </c>
      <c r="AN69" t="s">
        <v>1521</v>
      </c>
      <c r="AO69" t="s">
        <v>1521</v>
      </c>
      <c r="AP69" s="5">
        <v>46267.567361111112</v>
      </c>
      <c r="AQ69" t="s">
        <v>1266</v>
      </c>
      <c r="AR69" t="s">
        <v>1293</v>
      </c>
      <c r="AS69" t="s">
        <v>1268</v>
      </c>
      <c r="AT69" t="s">
        <v>1269</v>
      </c>
      <c r="AU69" t="s">
        <v>1270</v>
      </c>
    </row>
    <row r="70" spans="1:47" x14ac:dyDescent="0.25">
      <c r="A70" s="1" t="s">
        <v>949</v>
      </c>
      <c r="B70" s="1" t="s">
        <v>950</v>
      </c>
      <c r="C70" s="1" t="s">
        <v>950</v>
      </c>
      <c r="D70" s="1" t="s">
        <v>951</v>
      </c>
      <c r="E70" s="1" t="s">
        <v>38</v>
      </c>
      <c r="F70" s="1" t="s">
        <v>39</v>
      </c>
      <c r="G70" s="2">
        <v>-2176</v>
      </c>
      <c r="H70" s="2">
        <v>5966647.6399999997</v>
      </c>
      <c r="I70" s="1" t="s">
        <v>40</v>
      </c>
      <c r="J70" s="1" t="s">
        <v>41</v>
      </c>
      <c r="K70" s="1" t="s">
        <v>952</v>
      </c>
      <c r="L70" s="1" t="s">
        <v>39</v>
      </c>
      <c r="M70" s="1" t="s">
        <v>39</v>
      </c>
      <c r="P70">
        <v>469005</v>
      </c>
      <c r="Q70" t="s">
        <v>1528</v>
      </c>
      <c r="R70" t="s">
        <v>1257</v>
      </c>
      <c r="S70" t="s">
        <v>1258</v>
      </c>
      <c r="T70" t="s">
        <v>1259</v>
      </c>
      <c r="U70">
        <v>2176</v>
      </c>
      <c r="V70" s="8">
        <f>G70+U70</f>
        <v>0</v>
      </c>
      <c r="W70">
        <v>0</v>
      </c>
      <c r="X70">
        <v>10</v>
      </c>
      <c r="Y70">
        <v>0</v>
      </c>
      <c r="Z70">
        <v>1</v>
      </c>
      <c r="AA70">
        <v>0</v>
      </c>
      <c r="AB70">
        <v>3283.2</v>
      </c>
      <c r="AC70" s="4">
        <v>46267</v>
      </c>
      <c r="AD70" t="s">
        <v>1529</v>
      </c>
      <c r="AE70" t="s">
        <v>949</v>
      </c>
      <c r="AI70" t="s">
        <v>1261</v>
      </c>
      <c r="AJ70" t="s">
        <v>1262</v>
      </c>
      <c r="AK70">
        <v>4699876</v>
      </c>
      <c r="AM70" t="s">
        <v>1263</v>
      </c>
      <c r="AN70" t="s">
        <v>1530</v>
      </c>
      <c r="AO70" t="s">
        <v>1530</v>
      </c>
      <c r="AP70" s="5">
        <v>46267.588888888888</v>
      </c>
      <c r="AQ70" t="s">
        <v>1266</v>
      </c>
      <c r="AR70" t="s">
        <v>1531</v>
      </c>
      <c r="AS70" t="s">
        <v>1268</v>
      </c>
      <c r="AT70" t="s">
        <v>1269</v>
      </c>
      <c r="AU70" t="s">
        <v>1270</v>
      </c>
    </row>
    <row r="71" spans="1:47" x14ac:dyDescent="0.25">
      <c r="A71" s="1" t="s">
        <v>899</v>
      </c>
      <c r="B71" s="1" t="s">
        <v>900</v>
      </c>
      <c r="C71" s="1" t="s">
        <v>900</v>
      </c>
      <c r="D71" s="1" t="s">
        <v>889</v>
      </c>
      <c r="E71" s="1" t="s">
        <v>38</v>
      </c>
      <c r="F71" s="1" t="s">
        <v>39</v>
      </c>
      <c r="G71" s="2">
        <v>-600</v>
      </c>
      <c r="H71" s="2">
        <v>5547988.6399999997</v>
      </c>
      <c r="I71" s="1" t="s">
        <v>40</v>
      </c>
      <c r="J71" s="1" t="s">
        <v>41</v>
      </c>
      <c r="K71" s="1" t="s">
        <v>890</v>
      </c>
      <c r="L71" s="1" t="s">
        <v>39</v>
      </c>
      <c r="M71" s="1" t="s">
        <v>39</v>
      </c>
      <c r="O71">
        <v>756756</v>
      </c>
      <c r="P71">
        <v>254795390620</v>
      </c>
      <c r="Q71" t="s">
        <v>1583</v>
      </c>
      <c r="R71" t="s">
        <v>1386</v>
      </c>
      <c r="T71" t="s">
        <v>1259</v>
      </c>
      <c r="U71">
        <v>600</v>
      </c>
      <c r="V71" s="8">
        <f>G71+U71</f>
        <v>0</v>
      </c>
      <c r="W71">
        <v>0</v>
      </c>
      <c r="X71">
        <v>10</v>
      </c>
      <c r="Y71">
        <v>0</v>
      </c>
      <c r="Z71">
        <v>0</v>
      </c>
      <c r="AA71">
        <v>0</v>
      </c>
      <c r="AB71">
        <v>28619</v>
      </c>
      <c r="AC71" s="4">
        <v>46267</v>
      </c>
      <c r="AD71" t="s">
        <v>1584</v>
      </c>
      <c r="AE71" t="s">
        <v>899</v>
      </c>
      <c r="AI71" t="s">
        <v>1261</v>
      </c>
      <c r="AJ71" t="s">
        <v>1262</v>
      </c>
      <c r="AK71">
        <v>5291253</v>
      </c>
      <c r="AM71" t="s">
        <v>1263</v>
      </c>
      <c r="AN71" t="s">
        <v>1585</v>
      </c>
      <c r="AO71" t="s">
        <v>1585</v>
      </c>
      <c r="AP71" s="5">
        <v>46267.645138888889</v>
      </c>
      <c r="AQ71" t="s">
        <v>1266</v>
      </c>
      <c r="AR71" t="s">
        <v>1293</v>
      </c>
      <c r="AS71" t="s">
        <v>1268</v>
      </c>
      <c r="AT71" t="s">
        <v>1269</v>
      </c>
      <c r="AU71" t="s">
        <v>1270</v>
      </c>
    </row>
    <row r="72" spans="1:47" x14ac:dyDescent="0.25">
      <c r="A72" s="1" t="s">
        <v>911</v>
      </c>
      <c r="B72" s="1" t="s">
        <v>912</v>
      </c>
      <c r="C72" s="1" t="s">
        <v>912</v>
      </c>
      <c r="D72" s="1" t="s">
        <v>913</v>
      </c>
      <c r="E72" s="1" t="s">
        <v>38</v>
      </c>
      <c r="F72" s="1" t="s">
        <v>39</v>
      </c>
      <c r="G72" s="2">
        <v>-500</v>
      </c>
      <c r="H72" s="2">
        <v>5854644.6399999997</v>
      </c>
      <c r="I72" s="1" t="s">
        <v>40</v>
      </c>
      <c r="J72" s="1" t="s">
        <v>49</v>
      </c>
      <c r="K72" s="1" t="s">
        <v>914</v>
      </c>
      <c r="L72" s="1" t="s">
        <v>39</v>
      </c>
      <c r="M72" s="1" t="s">
        <v>915</v>
      </c>
      <c r="O72">
        <v>756756</v>
      </c>
      <c r="P72">
        <v>70737</v>
      </c>
      <c r="Q72" t="s">
        <v>1568</v>
      </c>
      <c r="R72" t="s">
        <v>1569</v>
      </c>
      <c r="T72" t="s">
        <v>1259</v>
      </c>
      <c r="U72">
        <v>500</v>
      </c>
      <c r="V72" s="8">
        <f>G72+U72</f>
        <v>0</v>
      </c>
      <c r="W72">
        <v>0</v>
      </c>
      <c r="X72">
        <v>10</v>
      </c>
      <c r="Y72">
        <v>0</v>
      </c>
      <c r="Z72">
        <v>0</v>
      </c>
      <c r="AA72">
        <v>0</v>
      </c>
      <c r="AB72">
        <v>4875</v>
      </c>
      <c r="AC72" s="4">
        <v>46267</v>
      </c>
      <c r="AD72" t="s">
        <v>1570</v>
      </c>
      <c r="AE72" t="s">
        <v>911</v>
      </c>
      <c r="AH72" t="s">
        <v>1571</v>
      </c>
      <c r="AI72" t="s">
        <v>1261</v>
      </c>
      <c r="AJ72" t="s">
        <v>1262</v>
      </c>
      <c r="AK72">
        <v>4004309</v>
      </c>
      <c r="AL72" t="s">
        <v>1571</v>
      </c>
      <c r="AM72" t="s">
        <v>1263</v>
      </c>
      <c r="AN72" t="s">
        <v>1572</v>
      </c>
      <c r="AO72" t="s">
        <v>915</v>
      </c>
      <c r="AP72" s="5">
        <v>46267.634027777778</v>
      </c>
      <c r="AQ72" t="s">
        <v>1266</v>
      </c>
      <c r="AR72" t="s">
        <v>1293</v>
      </c>
      <c r="AS72" t="s">
        <v>1268</v>
      </c>
      <c r="AT72" t="s">
        <v>1269</v>
      </c>
      <c r="AU72" t="s">
        <v>1270</v>
      </c>
    </row>
    <row r="73" spans="1:47" x14ac:dyDescent="0.25">
      <c r="A73" s="1" t="s">
        <v>907</v>
      </c>
      <c r="B73" s="1" t="s">
        <v>908</v>
      </c>
      <c r="C73" s="1" t="s">
        <v>908</v>
      </c>
      <c r="D73" s="1" t="s">
        <v>909</v>
      </c>
      <c r="E73" s="1" t="s">
        <v>38</v>
      </c>
      <c r="F73" s="1" t="s">
        <v>39</v>
      </c>
      <c r="G73" s="2">
        <v>-6000</v>
      </c>
      <c r="H73" s="2">
        <v>5848636.6399999997</v>
      </c>
      <c r="I73" s="1" t="s">
        <v>40</v>
      </c>
      <c r="J73" s="1" t="s">
        <v>41</v>
      </c>
      <c r="K73" s="1" t="s">
        <v>910</v>
      </c>
      <c r="L73" s="1" t="s">
        <v>39</v>
      </c>
      <c r="M73" s="1" t="s">
        <v>39</v>
      </c>
      <c r="P73">
        <v>520420</v>
      </c>
      <c r="Q73" t="s">
        <v>1392</v>
      </c>
      <c r="R73" t="s">
        <v>1286</v>
      </c>
      <c r="T73" t="s">
        <v>1259</v>
      </c>
      <c r="U73">
        <v>6000</v>
      </c>
      <c r="V73" s="8">
        <f>G73+U73</f>
        <v>0</v>
      </c>
      <c r="W73">
        <v>0</v>
      </c>
      <c r="X73">
        <v>15</v>
      </c>
      <c r="Y73">
        <v>16</v>
      </c>
      <c r="Z73">
        <v>0</v>
      </c>
      <c r="AA73">
        <v>0</v>
      </c>
      <c r="AB73">
        <v>82419.224000000002</v>
      </c>
      <c r="AC73" s="4">
        <v>46267</v>
      </c>
      <c r="AD73" t="s">
        <v>1573</v>
      </c>
      <c r="AE73" t="s">
        <v>907</v>
      </c>
      <c r="AI73" t="s">
        <v>1261</v>
      </c>
      <c r="AJ73" t="s">
        <v>1262</v>
      </c>
      <c r="AK73">
        <v>520420</v>
      </c>
      <c r="AM73" t="s">
        <v>1263</v>
      </c>
      <c r="AN73" t="s">
        <v>1574</v>
      </c>
      <c r="AO73" t="s">
        <v>1575</v>
      </c>
      <c r="AP73" s="5">
        <v>46267.642361111109</v>
      </c>
      <c r="AQ73" t="s">
        <v>1266</v>
      </c>
      <c r="AS73" t="s">
        <v>1268</v>
      </c>
      <c r="AT73" t="s">
        <v>1269</v>
      </c>
      <c r="AU73" t="s">
        <v>1270</v>
      </c>
    </row>
    <row r="74" spans="1:47" x14ac:dyDescent="0.25">
      <c r="A74" s="1" t="s">
        <v>953</v>
      </c>
      <c r="B74" s="1" t="s">
        <v>954</v>
      </c>
      <c r="C74" s="1" t="s">
        <v>955</v>
      </c>
      <c r="D74" s="1" t="s">
        <v>956</v>
      </c>
      <c r="E74" s="1" t="s">
        <v>38</v>
      </c>
      <c r="F74" s="1" t="s">
        <v>39</v>
      </c>
      <c r="G74" s="2">
        <v>-38999</v>
      </c>
      <c r="H74" s="2">
        <v>5968929.6399999997</v>
      </c>
      <c r="I74" s="1" t="s">
        <v>40</v>
      </c>
      <c r="J74" s="1" t="s">
        <v>49</v>
      </c>
      <c r="K74" s="1" t="s">
        <v>880</v>
      </c>
      <c r="L74" s="1" t="s">
        <v>39</v>
      </c>
      <c r="M74" s="1" t="s">
        <v>957</v>
      </c>
      <c r="P74">
        <v>379411</v>
      </c>
      <c r="Q74" t="s">
        <v>1524</v>
      </c>
      <c r="R74" t="s">
        <v>1257</v>
      </c>
      <c r="T74" t="s">
        <v>1259</v>
      </c>
      <c r="U74">
        <v>38999</v>
      </c>
      <c r="V74" s="8">
        <f>G74+U74</f>
        <v>0</v>
      </c>
      <c r="W74">
        <v>0</v>
      </c>
      <c r="X74">
        <v>125</v>
      </c>
      <c r="Y74">
        <v>0</v>
      </c>
      <c r="Z74">
        <v>1</v>
      </c>
      <c r="AA74">
        <v>0</v>
      </c>
      <c r="AB74">
        <v>176460.872</v>
      </c>
      <c r="AC74" s="4">
        <v>46267</v>
      </c>
      <c r="AD74" t="s">
        <v>1525</v>
      </c>
      <c r="AE74" t="s">
        <v>953</v>
      </c>
      <c r="AH74" t="s">
        <v>1407</v>
      </c>
      <c r="AI74" t="s">
        <v>1261</v>
      </c>
      <c r="AJ74" t="s">
        <v>1262</v>
      </c>
      <c r="AK74">
        <v>400200</v>
      </c>
      <c r="AL74" t="s">
        <v>1407</v>
      </c>
      <c r="AM74" t="s">
        <v>1263</v>
      </c>
      <c r="AN74" t="s">
        <v>1526</v>
      </c>
      <c r="AO74" t="s">
        <v>1527</v>
      </c>
      <c r="AP74" s="5">
        <v>46267.588194444441</v>
      </c>
      <c r="AQ74" t="s">
        <v>1266</v>
      </c>
      <c r="AR74" t="s">
        <v>1267</v>
      </c>
      <c r="AS74" t="s">
        <v>1268</v>
      </c>
      <c r="AT74" t="s">
        <v>1269</v>
      </c>
      <c r="AU74" t="s">
        <v>1270</v>
      </c>
    </row>
    <row r="75" spans="1:47" x14ac:dyDescent="0.25">
      <c r="A75" s="1" t="s">
        <v>918</v>
      </c>
      <c r="B75" s="1" t="s">
        <v>919</v>
      </c>
      <c r="C75" s="1" t="s">
        <v>920</v>
      </c>
      <c r="D75" s="1" t="s">
        <v>921</v>
      </c>
      <c r="E75" s="1" t="s">
        <v>38</v>
      </c>
      <c r="F75" s="1" t="s">
        <v>39</v>
      </c>
      <c r="G75" s="2">
        <v>-1170</v>
      </c>
      <c r="H75" s="2">
        <v>5856662.6399999997</v>
      </c>
      <c r="I75" s="1" t="s">
        <v>40</v>
      </c>
      <c r="J75" s="1" t="s">
        <v>49</v>
      </c>
      <c r="K75" s="1" t="s">
        <v>279</v>
      </c>
      <c r="L75" s="1" t="s">
        <v>39</v>
      </c>
      <c r="M75" s="1" t="s">
        <v>922</v>
      </c>
      <c r="O75">
        <v>756756</v>
      </c>
      <c r="P75">
        <v>254706564824</v>
      </c>
      <c r="Q75" t="s">
        <v>1562</v>
      </c>
      <c r="R75" t="s">
        <v>1286</v>
      </c>
      <c r="T75" t="s">
        <v>1259</v>
      </c>
      <c r="U75">
        <v>1170</v>
      </c>
      <c r="V75" s="8">
        <f>G75+U75</f>
        <v>0</v>
      </c>
      <c r="W75">
        <v>0</v>
      </c>
      <c r="X75">
        <v>25</v>
      </c>
      <c r="Y75">
        <v>0</v>
      </c>
      <c r="Z75">
        <v>0</v>
      </c>
      <c r="AA75">
        <v>0</v>
      </c>
      <c r="AB75">
        <v>52892</v>
      </c>
      <c r="AC75" s="4">
        <v>46267</v>
      </c>
      <c r="AD75" t="s">
        <v>1563</v>
      </c>
      <c r="AE75" t="s">
        <v>918</v>
      </c>
      <c r="AH75" t="s">
        <v>1564</v>
      </c>
      <c r="AI75" t="s">
        <v>1261</v>
      </c>
      <c r="AJ75" t="s">
        <v>1262</v>
      </c>
      <c r="AK75">
        <v>852648</v>
      </c>
      <c r="AL75" t="s">
        <v>1564</v>
      </c>
      <c r="AM75" t="s">
        <v>1263</v>
      </c>
      <c r="AN75" t="s">
        <v>1565</v>
      </c>
      <c r="AO75">
        <v>66950</v>
      </c>
      <c r="AP75" s="5">
        <v>46267.62222222222</v>
      </c>
      <c r="AQ75" t="s">
        <v>1266</v>
      </c>
      <c r="AR75" t="s">
        <v>1293</v>
      </c>
      <c r="AS75" t="s">
        <v>1268</v>
      </c>
      <c r="AT75" t="s">
        <v>1269</v>
      </c>
      <c r="AU75" t="s">
        <v>1270</v>
      </c>
    </row>
    <row r="76" spans="1:47" x14ac:dyDescent="0.25">
      <c r="A76" s="1" t="s">
        <v>916</v>
      </c>
      <c r="B76" s="1" t="s">
        <v>917</v>
      </c>
      <c r="C76" s="1" t="s">
        <v>917</v>
      </c>
      <c r="D76" s="1" t="s">
        <v>238</v>
      </c>
      <c r="E76" s="1" t="s">
        <v>38</v>
      </c>
      <c r="F76" s="1" t="s">
        <v>39</v>
      </c>
      <c r="G76" s="2">
        <v>-1500</v>
      </c>
      <c r="H76" s="2">
        <v>5855162.6399999997</v>
      </c>
      <c r="I76" s="1" t="s">
        <v>40</v>
      </c>
      <c r="J76" s="1" t="s">
        <v>41</v>
      </c>
      <c r="K76" s="1" t="s">
        <v>239</v>
      </c>
      <c r="L76" s="1" t="s">
        <v>39</v>
      </c>
      <c r="M76" s="1" t="s">
        <v>39</v>
      </c>
      <c r="P76">
        <v>469005</v>
      </c>
      <c r="Q76" t="s">
        <v>1528</v>
      </c>
      <c r="R76" t="s">
        <v>1257</v>
      </c>
      <c r="S76" t="s">
        <v>1258</v>
      </c>
      <c r="T76" t="s">
        <v>1259</v>
      </c>
      <c r="U76">
        <v>1500</v>
      </c>
      <c r="V76" s="8">
        <f>G76+U76</f>
        <v>0</v>
      </c>
      <c r="W76">
        <v>0</v>
      </c>
      <c r="X76">
        <v>10</v>
      </c>
      <c r="Y76">
        <v>0</v>
      </c>
      <c r="Z76">
        <v>1</v>
      </c>
      <c r="AA76">
        <v>0</v>
      </c>
      <c r="AB76">
        <v>1772.2</v>
      </c>
      <c r="AC76" s="4">
        <v>46267</v>
      </c>
      <c r="AD76" t="s">
        <v>1566</v>
      </c>
      <c r="AE76" t="s">
        <v>916</v>
      </c>
      <c r="AI76" t="s">
        <v>1261</v>
      </c>
      <c r="AJ76" t="s">
        <v>1262</v>
      </c>
      <c r="AK76">
        <v>4293700</v>
      </c>
      <c r="AM76" t="s">
        <v>1263</v>
      </c>
      <c r="AN76" t="s">
        <v>1567</v>
      </c>
      <c r="AO76" t="s">
        <v>1567</v>
      </c>
      <c r="AP76" s="5">
        <v>46267.631944444445</v>
      </c>
      <c r="AQ76" t="s">
        <v>1266</v>
      </c>
      <c r="AR76" t="s">
        <v>1531</v>
      </c>
      <c r="AS76" t="s">
        <v>1268</v>
      </c>
      <c r="AT76" t="s">
        <v>1269</v>
      </c>
      <c r="AU76" t="s">
        <v>1270</v>
      </c>
    </row>
    <row r="77" spans="1:47" x14ac:dyDescent="0.25">
      <c r="A77" s="1" t="s">
        <v>905</v>
      </c>
      <c r="B77" s="1" t="s">
        <v>906</v>
      </c>
      <c r="C77" s="1" t="s">
        <v>906</v>
      </c>
      <c r="D77" s="1" t="s">
        <v>903</v>
      </c>
      <c r="E77" s="1" t="s">
        <v>38</v>
      </c>
      <c r="F77" s="1" t="s">
        <v>39</v>
      </c>
      <c r="G77" s="2">
        <v>-200000</v>
      </c>
      <c r="H77" s="2">
        <v>5648588.6399999997</v>
      </c>
      <c r="I77" s="1" t="s">
        <v>40</v>
      </c>
      <c r="J77" s="1" t="s">
        <v>41</v>
      </c>
      <c r="K77" s="1" t="s">
        <v>904</v>
      </c>
      <c r="L77" s="1" t="s">
        <v>39</v>
      </c>
      <c r="M77" s="1" t="s">
        <v>39</v>
      </c>
      <c r="P77">
        <v>706931</v>
      </c>
      <c r="Q77" t="s">
        <v>1576</v>
      </c>
      <c r="R77" t="s">
        <v>1257</v>
      </c>
      <c r="S77" t="s">
        <v>1258</v>
      </c>
      <c r="T77" t="s">
        <v>1259</v>
      </c>
      <c r="U77">
        <v>200000</v>
      </c>
      <c r="V77" s="8">
        <f>G77+U77</f>
        <v>0</v>
      </c>
      <c r="W77">
        <v>0</v>
      </c>
      <c r="X77">
        <v>15</v>
      </c>
      <c r="Y77">
        <v>0</v>
      </c>
      <c r="Z77">
        <v>1</v>
      </c>
      <c r="AA77">
        <v>0</v>
      </c>
      <c r="AB77">
        <v>195628.96</v>
      </c>
      <c r="AC77" s="4">
        <v>46267</v>
      </c>
      <c r="AD77" t="s">
        <v>1577</v>
      </c>
      <c r="AE77" t="s">
        <v>905</v>
      </c>
      <c r="AI77" t="s">
        <v>1261</v>
      </c>
      <c r="AJ77" t="s">
        <v>1262</v>
      </c>
      <c r="AK77">
        <v>519025</v>
      </c>
      <c r="AM77" t="s">
        <v>1263</v>
      </c>
      <c r="AN77" t="s">
        <v>1578</v>
      </c>
      <c r="AO77" t="s">
        <v>1579</v>
      </c>
      <c r="AP77" s="5">
        <v>46267.645138888889</v>
      </c>
      <c r="AQ77" t="s">
        <v>1266</v>
      </c>
      <c r="AS77" t="s">
        <v>1268</v>
      </c>
      <c r="AT77" t="s">
        <v>1269</v>
      </c>
      <c r="AU77" t="s">
        <v>1270</v>
      </c>
    </row>
    <row r="78" spans="1:47" x14ac:dyDescent="0.25">
      <c r="A78" s="1" t="s">
        <v>891</v>
      </c>
      <c r="B78" s="1" t="s">
        <v>892</v>
      </c>
      <c r="C78" s="1" t="s">
        <v>892</v>
      </c>
      <c r="D78" s="1" t="s">
        <v>893</v>
      </c>
      <c r="E78" s="1" t="s">
        <v>38</v>
      </c>
      <c r="F78" s="1" t="s">
        <v>39</v>
      </c>
      <c r="G78" s="2">
        <v>-1500</v>
      </c>
      <c r="H78" s="2">
        <v>5534912.6399999997</v>
      </c>
      <c r="I78" s="1" t="s">
        <v>40</v>
      </c>
      <c r="J78" s="1" t="s">
        <v>41</v>
      </c>
      <c r="K78" s="1" t="s">
        <v>894</v>
      </c>
      <c r="L78" s="1" t="s">
        <v>39</v>
      </c>
      <c r="M78" s="1" t="s">
        <v>39</v>
      </c>
      <c r="O78">
        <v>756756</v>
      </c>
      <c r="P78">
        <v>254746383172</v>
      </c>
      <c r="Q78" t="s">
        <v>1590</v>
      </c>
      <c r="R78" t="s">
        <v>1286</v>
      </c>
      <c r="T78" t="s">
        <v>1259</v>
      </c>
      <c r="U78">
        <v>1500</v>
      </c>
      <c r="V78" s="8">
        <f>G78+U78</f>
        <v>0</v>
      </c>
      <c r="W78">
        <v>0</v>
      </c>
      <c r="X78">
        <v>10</v>
      </c>
      <c r="Y78">
        <v>0</v>
      </c>
      <c r="Z78">
        <v>0</v>
      </c>
      <c r="AA78">
        <v>0</v>
      </c>
      <c r="AB78">
        <v>15179</v>
      </c>
      <c r="AC78" s="4">
        <v>46267</v>
      </c>
      <c r="AD78" t="s">
        <v>1591</v>
      </c>
      <c r="AE78" t="s">
        <v>891</v>
      </c>
      <c r="AI78" t="s">
        <v>1261</v>
      </c>
      <c r="AJ78" t="s">
        <v>1262</v>
      </c>
      <c r="AK78">
        <v>4788768</v>
      </c>
      <c r="AM78" t="s">
        <v>1263</v>
      </c>
      <c r="AN78" t="s">
        <v>1592</v>
      </c>
      <c r="AO78" t="s">
        <v>1592</v>
      </c>
      <c r="AP78" s="5">
        <v>46267.652083333334</v>
      </c>
      <c r="AQ78" t="s">
        <v>1266</v>
      </c>
      <c r="AR78" t="s">
        <v>1293</v>
      </c>
      <c r="AS78" t="s">
        <v>1268</v>
      </c>
      <c r="AT78" t="s">
        <v>1269</v>
      </c>
      <c r="AU78" t="s">
        <v>1270</v>
      </c>
    </row>
    <row r="79" spans="1:47" x14ac:dyDescent="0.25">
      <c r="A79" s="1" t="s">
        <v>958</v>
      </c>
      <c r="B79" s="1" t="s">
        <v>959</v>
      </c>
      <c r="C79" s="1" t="s">
        <v>959</v>
      </c>
      <c r="D79" s="1" t="s">
        <v>960</v>
      </c>
      <c r="E79" s="1" t="s">
        <v>38</v>
      </c>
      <c r="F79" s="1" t="s">
        <v>39</v>
      </c>
      <c r="G79" s="2">
        <v>-875</v>
      </c>
      <c r="H79" s="2">
        <v>6007941.6399999997</v>
      </c>
      <c r="I79" s="1" t="s">
        <v>40</v>
      </c>
      <c r="J79" s="1" t="s">
        <v>41</v>
      </c>
      <c r="K79" s="1" t="s">
        <v>961</v>
      </c>
      <c r="L79" s="1" t="s">
        <v>39</v>
      </c>
      <c r="M79" s="1" t="s">
        <v>39</v>
      </c>
      <c r="O79">
        <v>756756</v>
      </c>
      <c r="P79">
        <v>164621</v>
      </c>
      <c r="Q79" t="s">
        <v>1519</v>
      </c>
      <c r="R79" t="s">
        <v>1320</v>
      </c>
      <c r="T79" t="s">
        <v>1259</v>
      </c>
      <c r="U79">
        <v>875</v>
      </c>
      <c r="V79" s="8">
        <f>G79+U79</f>
        <v>0</v>
      </c>
      <c r="W79">
        <v>0</v>
      </c>
      <c r="X79">
        <v>10</v>
      </c>
      <c r="Y79">
        <v>0</v>
      </c>
      <c r="Z79">
        <v>0</v>
      </c>
      <c r="AA79">
        <v>0</v>
      </c>
      <c r="AB79">
        <v>6350.94</v>
      </c>
      <c r="AC79" s="4">
        <v>46267</v>
      </c>
      <c r="AD79" t="s">
        <v>1522</v>
      </c>
      <c r="AE79" t="s">
        <v>958</v>
      </c>
      <c r="AI79" t="s">
        <v>1261</v>
      </c>
      <c r="AJ79" t="s">
        <v>1262</v>
      </c>
      <c r="AK79">
        <v>9362497</v>
      </c>
      <c r="AM79" t="s">
        <v>1263</v>
      </c>
      <c r="AN79" t="s">
        <v>1523</v>
      </c>
      <c r="AO79" t="s">
        <v>1523</v>
      </c>
      <c r="AP79" s="5">
        <v>46267.568749999999</v>
      </c>
      <c r="AQ79" t="s">
        <v>1266</v>
      </c>
      <c r="AR79" t="s">
        <v>1293</v>
      </c>
      <c r="AS79" t="s">
        <v>1268</v>
      </c>
      <c r="AT79" t="s">
        <v>1269</v>
      </c>
      <c r="AU79" t="s">
        <v>1270</v>
      </c>
    </row>
    <row r="80" spans="1:47" x14ac:dyDescent="0.25">
      <c r="A80" s="1" t="s">
        <v>938</v>
      </c>
      <c r="B80" s="1" t="s">
        <v>939</v>
      </c>
      <c r="C80" s="1" t="s">
        <v>939</v>
      </c>
      <c r="D80" s="1" t="s">
        <v>940</v>
      </c>
      <c r="E80" s="1" t="s">
        <v>38</v>
      </c>
      <c r="F80" s="1" t="s">
        <v>39</v>
      </c>
      <c r="G80" s="2">
        <v>-100</v>
      </c>
      <c r="H80" s="2">
        <v>5961570.6399999997</v>
      </c>
      <c r="I80" s="1" t="s">
        <v>40</v>
      </c>
      <c r="J80" s="1" t="s">
        <v>41</v>
      </c>
      <c r="K80" s="1" t="s">
        <v>941</v>
      </c>
      <c r="L80" s="1" t="s">
        <v>39</v>
      </c>
      <c r="M80" s="1" t="s">
        <v>39</v>
      </c>
      <c r="O80">
        <v>756756</v>
      </c>
      <c r="P80">
        <v>254748897486</v>
      </c>
      <c r="Q80" t="s">
        <v>1538</v>
      </c>
      <c r="R80" t="s">
        <v>1286</v>
      </c>
      <c r="T80" t="s">
        <v>1259</v>
      </c>
      <c r="U80">
        <v>100</v>
      </c>
      <c r="V80" s="8">
        <f>G80+U80</f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100</v>
      </c>
      <c r="AC80" s="4">
        <v>46267</v>
      </c>
      <c r="AD80" t="s">
        <v>1539</v>
      </c>
      <c r="AE80" t="s">
        <v>938</v>
      </c>
      <c r="AI80" t="s">
        <v>1261</v>
      </c>
      <c r="AJ80" t="s">
        <v>1262</v>
      </c>
      <c r="AK80">
        <v>3253086</v>
      </c>
      <c r="AM80" t="s">
        <v>1263</v>
      </c>
      <c r="AN80" t="s">
        <v>1540</v>
      </c>
      <c r="AO80" t="s">
        <v>1540</v>
      </c>
      <c r="AP80" s="5">
        <v>46267.597222222219</v>
      </c>
      <c r="AQ80" t="s">
        <v>1266</v>
      </c>
      <c r="AR80" t="s">
        <v>1293</v>
      </c>
      <c r="AS80" t="s">
        <v>1268</v>
      </c>
      <c r="AT80" t="s">
        <v>1269</v>
      </c>
      <c r="AU80" t="s">
        <v>1270</v>
      </c>
    </row>
    <row r="81" spans="1:47" x14ac:dyDescent="0.25">
      <c r="A81" s="1" t="s">
        <v>932</v>
      </c>
      <c r="B81" s="1" t="s">
        <v>933</v>
      </c>
      <c r="C81" s="1" t="s">
        <v>934</v>
      </c>
      <c r="D81" s="1" t="s">
        <v>935</v>
      </c>
      <c r="E81" s="1" t="s">
        <v>38</v>
      </c>
      <c r="F81" s="1" t="s">
        <v>39</v>
      </c>
      <c r="G81" s="2">
        <v>-87000</v>
      </c>
      <c r="H81" s="2">
        <v>5874452.6399999997</v>
      </c>
      <c r="I81" s="1" t="s">
        <v>40</v>
      </c>
      <c r="J81" s="1" t="s">
        <v>49</v>
      </c>
      <c r="K81" s="1" t="s">
        <v>936</v>
      </c>
      <c r="L81" s="1" t="s">
        <v>39</v>
      </c>
      <c r="M81" s="1" t="s">
        <v>937</v>
      </c>
      <c r="P81">
        <v>458445</v>
      </c>
      <c r="Q81" t="s">
        <v>1332</v>
      </c>
      <c r="R81" t="s">
        <v>1257</v>
      </c>
      <c r="S81" t="s">
        <v>1258</v>
      </c>
      <c r="T81" t="s">
        <v>1259</v>
      </c>
      <c r="U81">
        <v>87000</v>
      </c>
      <c r="V81" s="8">
        <f>G81+U81</f>
        <v>0</v>
      </c>
      <c r="W81">
        <v>0</v>
      </c>
      <c r="X81">
        <v>136</v>
      </c>
      <c r="Y81">
        <v>0</v>
      </c>
      <c r="Z81">
        <v>1</v>
      </c>
      <c r="AA81">
        <v>0</v>
      </c>
      <c r="AB81">
        <v>308219.68599999999</v>
      </c>
      <c r="AC81" s="4">
        <v>46267</v>
      </c>
      <c r="AD81" t="s">
        <v>1546</v>
      </c>
      <c r="AE81" t="s">
        <v>932</v>
      </c>
      <c r="AH81" t="s">
        <v>1547</v>
      </c>
      <c r="AI81" t="s">
        <v>1261</v>
      </c>
      <c r="AJ81" t="s">
        <v>1262</v>
      </c>
      <c r="AK81">
        <v>303030</v>
      </c>
      <c r="AL81" t="s">
        <v>1547</v>
      </c>
      <c r="AM81" t="s">
        <v>1263</v>
      </c>
      <c r="AN81" t="s">
        <v>1548</v>
      </c>
      <c r="AO81">
        <v>18757</v>
      </c>
      <c r="AP81" s="5">
        <v>46267.603472222225</v>
      </c>
      <c r="AQ81" t="s">
        <v>1266</v>
      </c>
      <c r="AR81" t="s">
        <v>1267</v>
      </c>
      <c r="AS81" t="s">
        <v>1268</v>
      </c>
      <c r="AT81" t="s">
        <v>1269</v>
      </c>
      <c r="AU81" t="s">
        <v>1270</v>
      </c>
    </row>
    <row r="82" spans="1:47" x14ac:dyDescent="0.25">
      <c r="A82" s="1" t="s">
        <v>923</v>
      </c>
      <c r="B82" s="1" t="s">
        <v>924</v>
      </c>
      <c r="C82" s="1" t="s">
        <v>924</v>
      </c>
      <c r="D82" s="1" t="s">
        <v>925</v>
      </c>
      <c r="E82" s="1" t="s">
        <v>38</v>
      </c>
      <c r="F82" s="1" t="s">
        <v>39</v>
      </c>
      <c r="G82" s="2">
        <v>-10000</v>
      </c>
      <c r="H82" s="2">
        <v>5857904.6399999997</v>
      </c>
      <c r="I82" s="1" t="s">
        <v>40</v>
      </c>
      <c r="J82" s="1" t="s">
        <v>41</v>
      </c>
      <c r="K82" s="1" t="s">
        <v>926</v>
      </c>
      <c r="L82" s="1" t="s">
        <v>39</v>
      </c>
      <c r="M82" s="1" t="s">
        <v>39</v>
      </c>
      <c r="P82">
        <v>414936</v>
      </c>
      <c r="Q82" t="s">
        <v>1310</v>
      </c>
      <c r="R82" t="s">
        <v>1286</v>
      </c>
      <c r="T82" t="s">
        <v>1259</v>
      </c>
      <c r="U82">
        <v>10000</v>
      </c>
      <c r="V82" s="8">
        <f>G82+U82</f>
        <v>0</v>
      </c>
      <c r="W82">
        <v>0</v>
      </c>
      <c r="X82">
        <v>15</v>
      </c>
      <c r="Y82">
        <v>22</v>
      </c>
      <c r="Z82">
        <v>0</v>
      </c>
      <c r="AA82">
        <v>0</v>
      </c>
      <c r="AB82">
        <v>11289</v>
      </c>
      <c r="AC82" s="4">
        <v>46267</v>
      </c>
      <c r="AD82" t="s">
        <v>1554</v>
      </c>
      <c r="AE82" t="s">
        <v>923</v>
      </c>
      <c r="AI82" t="s">
        <v>1261</v>
      </c>
      <c r="AJ82" t="s">
        <v>1262</v>
      </c>
      <c r="AK82">
        <v>414936</v>
      </c>
      <c r="AM82" t="s">
        <v>1263</v>
      </c>
      <c r="AN82" t="s">
        <v>1555</v>
      </c>
      <c r="AO82" t="s">
        <v>1556</v>
      </c>
      <c r="AP82" s="5">
        <v>46267.611805555556</v>
      </c>
      <c r="AQ82" t="s">
        <v>1266</v>
      </c>
      <c r="AS82" t="s">
        <v>1268</v>
      </c>
      <c r="AT82" t="s">
        <v>1269</v>
      </c>
      <c r="AU82" t="s">
        <v>1270</v>
      </c>
    </row>
    <row r="83" spans="1:47" x14ac:dyDescent="0.25">
      <c r="A83" s="1" t="s">
        <v>846</v>
      </c>
      <c r="B83" s="1" t="s">
        <v>847</v>
      </c>
      <c r="C83" s="1" t="s">
        <v>847</v>
      </c>
      <c r="D83" s="1" t="s">
        <v>848</v>
      </c>
      <c r="E83" s="1" t="s">
        <v>38</v>
      </c>
      <c r="F83" s="1" t="s">
        <v>39</v>
      </c>
      <c r="G83" s="2">
        <v>-10346</v>
      </c>
      <c r="H83" s="2">
        <v>5372951.6399999997</v>
      </c>
      <c r="I83" s="1" t="s">
        <v>40</v>
      </c>
      <c r="J83" s="1" t="s">
        <v>49</v>
      </c>
      <c r="K83" s="1" t="s">
        <v>283</v>
      </c>
      <c r="L83" s="1" t="s">
        <v>39</v>
      </c>
      <c r="M83" s="1" t="s">
        <v>849</v>
      </c>
      <c r="P83">
        <v>395390</v>
      </c>
      <c r="Q83" t="s">
        <v>1609</v>
      </c>
      <c r="R83" t="s">
        <v>1257</v>
      </c>
      <c r="S83" t="s">
        <v>1258</v>
      </c>
      <c r="T83" t="s">
        <v>1259</v>
      </c>
      <c r="U83">
        <v>10346</v>
      </c>
      <c r="V83" s="8">
        <f>G83+U83</f>
        <v>0</v>
      </c>
      <c r="W83">
        <v>0</v>
      </c>
      <c r="X83">
        <v>72</v>
      </c>
      <c r="Y83">
        <v>0</v>
      </c>
      <c r="Z83">
        <v>0</v>
      </c>
      <c r="AA83">
        <v>0</v>
      </c>
      <c r="AB83">
        <v>4281723</v>
      </c>
      <c r="AC83" s="4">
        <v>46267</v>
      </c>
      <c r="AD83" t="s">
        <v>1623</v>
      </c>
      <c r="AE83" t="s">
        <v>846</v>
      </c>
      <c r="AH83" t="s">
        <v>1614</v>
      </c>
      <c r="AI83" t="s">
        <v>1261</v>
      </c>
      <c r="AJ83" t="s">
        <v>1262</v>
      </c>
      <c r="AK83">
        <v>765244</v>
      </c>
      <c r="AL83" t="s">
        <v>1614</v>
      </c>
      <c r="AM83" t="s">
        <v>1263</v>
      </c>
      <c r="AN83" t="s">
        <v>1624</v>
      </c>
      <c r="AO83" t="s">
        <v>1625</v>
      </c>
      <c r="AP83" s="5">
        <v>46267.684027777781</v>
      </c>
      <c r="AQ83" t="s">
        <v>1266</v>
      </c>
      <c r="AR83" t="s">
        <v>1267</v>
      </c>
      <c r="AS83" t="s">
        <v>1268</v>
      </c>
      <c r="AT83" t="s">
        <v>1269</v>
      </c>
      <c r="AU83" t="s">
        <v>1270</v>
      </c>
    </row>
    <row r="84" spans="1:47" x14ac:dyDescent="0.25">
      <c r="A84" s="1" t="s">
        <v>843</v>
      </c>
      <c r="B84" s="1" t="s">
        <v>833</v>
      </c>
      <c r="C84" s="1" t="s">
        <v>833</v>
      </c>
      <c r="D84" s="1" t="s">
        <v>844</v>
      </c>
      <c r="E84" s="1" t="s">
        <v>38</v>
      </c>
      <c r="F84" s="1" t="s">
        <v>39</v>
      </c>
      <c r="G84" s="2">
        <v>-13682</v>
      </c>
      <c r="H84" s="2">
        <v>5359206.6399999997</v>
      </c>
      <c r="I84" s="1" t="s">
        <v>40</v>
      </c>
      <c r="J84" s="1" t="s">
        <v>49</v>
      </c>
      <c r="K84" s="1" t="s">
        <v>283</v>
      </c>
      <c r="L84" s="1" t="s">
        <v>39</v>
      </c>
      <c r="M84" s="1" t="s">
        <v>845</v>
      </c>
      <c r="P84">
        <v>395390</v>
      </c>
      <c r="Q84" t="s">
        <v>1609</v>
      </c>
      <c r="R84" t="s">
        <v>1257</v>
      </c>
      <c r="S84" t="s">
        <v>1258</v>
      </c>
      <c r="T84" t="s">
        <v>1259</v>
      </c>
      <c r="U84">
        <v>13682</v>
      </c>
      <c r="V84" s="8">
        <f>G84+U84</f>
        <v>0</v>
      </c>
      <c r="W84">
        <v>0</v>
      </c>
      <c r="X84">
        <v>72</v>
      </c>
      <c r="Y84">
        <v>0</v>
      </c>
      <c r="Z84">
        <v>0</v>
      </c>
      <c r="AA84">
        <v>0</v>
      </c>
      <c r="AB84">
        <v>4250270</v>
      </c>
      <c r="AC84" s="4">
        <v>46267</v>
      </c>
      <c r="AD84" t="s">
        <v>1633</v>
      </c>
      <c r="AE84" t="s">
        <v>843</v>
      </c>
      <c r="AH84" t="s">
        <v>1614</v>
      </c>
      <c r="AI84" t="s">
        <v>1261</v>
      </c>
      <c r="AJ84" t="s">
        <v>1262</v>
      </c>
      <c r="AK84">
        <v>765244</v>
      </c>
      <c r="AL84" t="s">
        <v>1614</v>
      </c>
      <c r="AM84" t="s">
        <v>1263</v>
      </c>
      <c r="AN84" t="s">
        <v>1634</v>
      </c>
      <c r="AO84" t="s">
        <v>1635</v>
      </c>
      <c r="AP84" s="5">
        <v>46267.684027777781</v>
      </c>
      <c r="AQ84" t="s">
        <v>1266</v>
      </c>
      <c r="AR84" t="s">
        <v>1267</v>
      </c>
      <c r="AS84" t="s">
        <v>1268</v>
      </c>
      <c r="AT84" t="s">
        <v>1269</v>
      </c>
      <c r="AU84" t="s">
        <v>1270</v>
      </c>
    </row>
    <row r="85" spans="1:47" x14ac:dyDescent="0.25">
      <c r="A85" s="1" t="s">
        <v>806</v>
      </c>
      <c r="B85" s="1" t="s">
        <v>807</v>
      </c>
      <c r="C85" s="1" t="s">
        <v>807</v>
      </c>
      <c r="D85" s="1" t="s">
        <v>808</v>
      </c>
      <c r="E85" s="1" t="s">
        <v>38</v>
      </c>
      <c r="F85" s="1" t="s">
        <v>39</v>
      </c>
      <c r="G85" s="2">
        <v>-712</v>
      </c>
      <c r="H85" s="2">
        <v>5320031.6399999997</v>
      </c>
      <c r="I85" s="1" t="s">
        <v>40</v>
      </c>
      <c r="J85" s="1" t="s">
        <v>49</v>
      </c>
      <c r="K85" s="1" t="s">
        <v>289</v>
      </c>
      <c r="L85" s="1" t="s">
        <v>39</v>
      </c>
      <c r="M85" s="1" t="s">
        <v>809</v>
      </c>
      <c r="P85">
        <v>395390</v>
      </c>
      <c r="Q85" t="s">
        <v>1609</v>
      </c>
      <c r="R85" t="s">
        <v>1257</v>
      </c>
      <c r="S85" t="s">
        <v>1258</v>
      </c>
      <c r="T85" t="s">
        <v>1259</v>
      </c>
      <c r="U85">
        <v>712</v>
      </c>
      <c r="V85" s="8">
        <f>G85+U85</f>
        <v>0</v>
      </c>
      <c r="W85">
        <v>0</v>
      </c>
      <c r="X85">
        <v>20</v>
      </c>
      <c r="Y85">
        <v>0</v>
      </c>
      <c r="Z85">
        <v>0</v>
      </c>
      <c r="AA85">
        <v>0</v>
      </c>
      <c r="AB85">
        <v>4068446.8</v>
      </c>
      <c r="AC85" s="4">
        <v>46267</v>
      </c>
      <c r="AD85" t="s">
        <v>1648</v>
      </c>
      <c r="AE85" t="s">
        <v>806</v>
      </c>
      <c r="AH85" t="s">
        <v>1627</v>
      </c>
      <c r="AI85" t="s">
        <v>1261</v>
      </c>
      <c r="AJ85" t="s">
        <v>1262</v>
      </c>
      <c r="AK85">
        <v>350050</v>
      </c>
      <c r="AL85" t="s">
        <v>1627</v>
      </c>
      <c r="AM85" t="s">
        <v>1263</v>
      </c>
      <c r="AN85" t="s">
        <v>1649</v>
      </c>
      <c r="AO85" t="s">
        <v>1650</v>
      </c>
      <c r="AP85" s="5">
        <v>46267.684027777781</v>
      </c>
      <c r="AQ85" t="s">
        <v>1266</v>
      </c>
      <c r="AR85" t="s">
        <v>1267</v>
      </c>
      <c r="AS85" t="s">
        <v>1268</v>
      </c>
      <c r="AT85" t="s">
        <v>1269</v>
      </c>
      <c r="AU85" t="s">
        <v>1270</v>
      </c>
    </row>
    <row r="86" spans="1:47" x14ac:dyDescent="0.25">
      <c r="A86" s="1" t="s">
        <v>789</v>
      </c>
      <c r="B86" s="1" t="s">
        <v>790</v>
      </c>
      <c r="C86" s="1" t="s">
        <v>791</v>
      </c>
      <c r="D86" s="1" t="s">
        <v>792</v>
      </c>
      <c r="E86" s="1" t="s">
        <v>38</v>
      </c>
      <c r="F86" s="1" t="s">
        <v>39</v>
      </c>
      <c r="G86" s="2">
        <v>-5194</v>
      </c>
      <c r="H86" s="2">
        <v>5259862.6399999997</v>
      </c>
      <c r="I86" s="1" t="s">
        <v>40</v>
      </c>
      <c r="J86" s="1" t="s">
        <v>49</v>
      </c>
      <c r="K86" s="1" t="s">
        <v>279</v>
      </c>
      <c r="L86" s="1" t="s">
        <v>39</v>
      </c>
      <c r="M86" s="1" t="s">
        <v>793</v>
      </c>
      <c r="P86">
        <v>395390</v>
      </c>
      <c r="Q86" t="s">
        <v>1609</v>
      </c>
      <c r="R86" t="s">
        <v>1257</v>
      </c>
      <c r="S86" t="s">
        <v>1258</v>
      </c>
      <c r="T86" t="s">
        <v>1259</v>
      </c>
      <c r="U86">
        <v>5194</v>
      </c>
      <c r="V86" s="8">
        <f>G86+U86</f>
        <v>0</v>
      </c>
      <c r="W86">
        <v>0</v>
      </c>
      <c r="X86">
        <v>57</v>
      </c>
      <c r="Y86">
        <v>0</v>
      </c>
      <c r="Z86">
        <v>0</v>
      </c>
      <c r="AA86">
        <v>0</v>
      </c>
      <c r="AB86">
        <v>3815663.8</v>
      </c>
      <c r="AC86" s="4">
        <v>46267</v>
      </c>
      <c r="AD86" t="s">
        <v>1669</v>
      </c>
      <c r="AE86" t="s">
        <v>789</v>
      </c>
      <c r="AH86" t="s">
        <v>1564</v>
      </c>
      <c r="AI86" t="s">
        <v>1261</v>
      </c>
      <c r="AJ86" t="s">
        <v>1262</v>
      </c>
      <c r="AK86">
        <v>852648</v>
      </c>
      <c r="AL86" t="s">
        <v>1564</v>
      </c>
      <c r="AM86" t="s">
        <v>1263</v>
      </c>
      <c r="AN86" t="s">
        <v>1670</v>
      </c>
      <c r="AO86" t="s">
        <v>1671</v>
      </c>
      <c r="AP86" s="5">
        <v>46267.684027777781</v>
      </c>
      <c r="AQ86" t="s">
        <v>1266</v>
      </c>
      <c r="AR86" t="s">
        <v>1267</v>
      </c>
      <c r="AS86" t="s">
        <v>1268</v>
      </c>
      <c r="AT86" t="s">
        <v>1269</v>
      </c>
      <c r="AU86" t="s">
        <v>1270</v>
      </c>
    </row>
    <row r="87" spans="1:47" x14ac:dyDescent="0.25">
      <c r="A87" s="1" t="s">
        <v>781</v>
      </c>
      <c r="B87" s="1" t="s">
        <v>778</v>
      </c>
      <c r="C87" s="1" t="s">
        <v>778</v>
      </c>
      <c r="D87" s="1" t="s">
        <v>782</v>
      </c>
      <c r="E87" s="1" t="s">
        <v>38</v>
      </c>
      <c r="F87" s="1" t="s">
        <v>39</v>
      </c>
      <c r="G87" s="2">
        <v>-4120</v>
      </c>
      <c r="H87" s="2">
        <v>5254853.6399999997</v>
      </c>
      <c r="I87" s="1" t="s">
        <v>40</v>
      </c>
      <c r="J87" s="1" t="s">
        <v>49</v>
      </c>
      <c r="K87" s="1" t="s">
        <v>283</v>
      </c>
      <c r="L87" s="1" t="s">
        <v>39</v>
      </c>
      <c r="M87" s="1" t="s">
        <v>783</v>
      </c>
      <c r="P87">
        <v>395390</v>
      </c>
      <c r="Q87" t="s">
        <v>1609</v>
      </c>
      <c r="R87" t="s">
        <v>1257</v>
      </c>
      <c r="S87" t="s">
        <v>1258</v>
      </c>
      <c r="T87" t="s">
        <v>1259</v>
      </c>
      <c r="U87">
        <v>4120</v>
      </c>
      <c r="V87" s="8">
        <f>G87+U87</f>
        <v>0</v>
      </c>
      <c r="W87">
        <v>0</v>
      </c>
      <c r="X87">
        <v>49</v>
      </c>
      <c r="Y87">
        <v>0</v>
      </c>
      <c r="Z87">
        <v>0</v>
      </c>
      <c r="AA87">
        <v>0</v>
      </c>
      <c r="AB87">
        <v>3767871.8</v>
      </c>
      <c r="AC87" s="4">
        <v>46267</v>
      </c>
      <c r="AD87" t="s">
        <v>1675</v>
      </c>
      <c r="AE87" t="s">
        <v>781</v>
      </c>
      <c r="AH87" t="s">
        <v>1614</v>
      </c>
      <c r="AI87" t="s">
        <v>1261</v>
      </c>
      <c r="AJ87" t="s">
        <v>1262</v>
      </c>
      <c r="AK87">
        <v>765244</v>
      </c>
      <c r="AL87" t="s">
        <v>1614</v>
      </c>
      <c r="AM87" t="s">
        <v>1263</v>
      </c>
      <c r="AN87" t="s">
        <v>1676</v>
      </c>
      <c r="AO87" t="s">
        <v>1677</v>
      </c>
      <c r="AP87" s="5">
        <v>46267.684027777781</v>
      </c>
      <c r="AQ87" t="s">
        <v>1266</v>
      </c>
      <c r="AR87" t="s">
        <v>1267</v>
      </c>
      <c r="AS87" t="s">
        <v>1268</v>
      </c>
      <c r="AT87" t="s">
        <v>1269</v>
      </c>
      <c r="AU87" t="s">
        <v>1270</v>
      </c>
    </row>
    <row r="88" spans="1:47" x14ac:dyDescent="0.25">
      <c r="A88" s="1" t="s">
        <v>773</v>
      </c>
      <c r="B88" s="1" t="s">
        <v>770</v>
      </c>
      <c r="C88" s="1" t="s">
        <v>770</v>
      </c>
      <c r="D88" s="1" t="s">
        <v>339</v>
      </c>
      <c r="E88" s="1" t="s">
        <v>38</v>
      </c>
      <c r="F88" s="1" t="s">
        <v>39</v>
      </c>
      <c r="G88" s="2">
        <v>-755</v>
      </c>
      <c r="H88" s="2">
        <v>5252358.6399999997</v>
      </c>
      <c r="I88" s="1" t="s">
        <v>40</v>
      </c>
      <c r="J88" s="1" t="s">
        <v>49</v>
      </c>
      <c r="K88" s="1" t="s">
        <v>283</v>
      </c>
      <c r="L88" s="1" t="s">
        <v>39</v>
      </c>
      <c r="M88" s="1" t="s">
        <v>340</v>
      </c>
      <c r="P88">
        <v>395390</v>
      </c>
      <c r="Q88" t="s">
        <v>1609</v>
      </c>
      <c r="R88" t="s">
        <v>1257</v>
      </c>
      <c r="S88" t="s">
        <v>1258</v>
      </c>
      <c r="T88" t="s">
        <v>1259</v>
      </c>
      <c r="U88">
        <v>755</v>
      </c>
      <c r="V88" s="8">
        <f>G88+U88</f>
        <v>0</v>
      </c>
      <c r="W88">
        <v>0</v>
      </c>
      <c r="X88">
        <v>20</v>
      </c>
      <c r="Y88">
        <v>0</v>
      </c>
      <c r="Z88">
        <v>0</v>
      </c>
      <c r="AA88">
        <v>0</v>
      </c>
      <c r="AB88">
        <v>3685513.8</v>
      </c>
      <c r="AC88" s="4">
        <v>46267</v>
      </c>
      <c r="AD88" t="s">
        <v>1684</v>
      </c>
      <c r="AE88" t="s">
        <v>773</v>
      </c>
      <c r="AH88" t="s">
        <v>1614</v>
      </c>
      <c r="AI88" t="s">
        <v>1261</v>
      </c>
      <c r="AJ88" t="s">
        <v>1262</v>
      </c>
      <c r="AK88">
        <v>765244</v>
      </c>
      <c r="AL88" t="s">
        <v>1614</v>
      </c>
      <c r="AM88" t="s">
        <v>1263</v>
      </c>
      <c r="AN88" t="s">
        <v>1685</v>
      </c>
      <c r="AO88" t="s">
        <v>1686</v>
      </c>
      <c r="AP88" s="5">
        <v>46267.684027777781</v>
      </c>
      <c r="AQ88" t="s">
        <v>1266</v>
      </c>
      <c r="AR88" t="s">
        <v>1267</v>
      </c>
      <c r="AS88" t="s">
        <v>1268</v>
      </c>
      <c r="AT88" t="s">
        <v>1269</v>
      </c>
      <c r="AU88" t="s">
        <v>1270</v>
      </c>
    </row>
    <row r="89" spans="1:47" x14ac:dyDescent="0.25">
      <c r="A89" s="1" t="s">
        <v>764</v>
      </c>
      <c r="B89" s="1" t="s">
        <v>765</v>
      </c>
      <c r="C89" s="1" t="s">
        <v>765</v>
      </c>
      <c r="D89" s="1" t="s">
        <v>638</v>
      </c>
      <c r="E89" s="1" t="s">
        <v>38</v>
      </c>
      <c r="F89" s="1" t="s">
        <v>39</v>
      </c>
      <c r="G89" s="2">
        <v>-58</v>
      </c>
      <c r="H89" s="2">
        <v>5244931.6399999997</v>
      </c>
      <c r="I89" s="1" t="s">
        <v>40</v>
      </c>
      <c r="J89" s="1" t="s">
        <v>49</v>
      </c>
      <c r="K89" s="1" t="s">
        <v>283</v>
      </c>
      <c r="L89" s="1" t="s">
        <v>39</v>
      </c>
      <c r="M89" s="1" t="s">
        <v>639</v>
      </c>
      <c r="P89">
        <v>395390</v>
      </c>
      <c r="Q89" t="s">
        <v>1609</v>
      </c>
      <c r="R89" t="s">
        <v>1257</v>
      </c>
      <c r="S89" t="s">
        <v>1258</v>
      </c>
      <c r="T89" t="s">
        <v>1259</v>
      </c>
      <c r="U89">
        <v>58</v>
      </c>
      <c r="V89" s="8">
        <f>G89+U89</f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3674366.8</v>
      </c>
      <c r="AC89" s="4">
        <v>46267</v>
      </c>
      <c r="AD89" t="s">
        <v>1696</v>
      </c>
      <c r="AE89" t="s">
        <v>764</v>
      </c>
      <c r="AH89" t="s">
        <v>1614</v>
      </c>
      <c r="AI89" t="s">
        <v>1261</v>
      </c>
      <c r="AJ89" t="s">
        <v>1262</v>
      </c>
      <c r="AK89">
        <v>765244</v>
      </c>
      <c r="AL89" t="s">
        <v>1614</v>
      </c>
      <c r="AM89" t="s">
        <v>1263</v>
      </c>
      <c r="AN89" t="s">
        <v>1697</v>
      </c>
      <c r="AO89" t="s">
        <v>1698</v>
      </c>
      <c r="AP89" s="5">
        <v>46267.684027777781</v>
      </c>
      <c r="AQ89" t="s">
        <v>1266</v>
      </c>
      <c r="AR89" t="s">
        <v>1267</v>
      </c>
      <c r="AS89" t="s">
        <v>1268</v>
      </c>
      <c r="AT89" t="s">
        <v>1269</v>
      </c>
      <c r="AU89" t="s">
        <v>1270</v>
      </c>
    </row>
    <row r="90" spans="1:47" x14ac:dyDescent="0.25">
      <c r="A90" s="1" t="s">
        <v>752</v>
      </c>
      <c r="B90" s="1" t="s">
        <v>753</v>
      </c>
      <c r="C90" s="1" t="s">
        <v>753</v>
      </c>
      <c r="D90" s="1" t="s">
        <v>754</v>
      </c>
      <c r="E90" s="1" t="s">
        <v>38</v>
      </c>
      <c r="F90" s="1" t="s">
        <v>39</v>
      </c>
      <c r="G90" s="2">
        <v>-140</v>
      </c>
      <c r="H90" s="2">
        <v>5244022.6399999997</v>
      </c>
      <c r="I90" s="1" t="s">
        <v>40</v>
      </c>
      <c r="J90" s="1" t="s">
        <v>49</v>
      </c>
      <c r="K90" s="1" t="s">
        <v>755</v>
      </c>
      <c r="L90" s="1" t="s">
        <v>39</v>
      </c>
      <c r="M90" s="1" t="s">
        <v>756</v>
      </c>
      <c r="P90">
        <v>1440382</v>
      </c>
      <c r="Q90" t="s">
        <v>1711</v>
      </c>
      <c r="R90" t="s">
        <v>1286</v>
      </c>
      <c r="T90" t="s">
        <v>1259</v>
      </c>
      <c r="U90">
        <v>140</v>
      </c>
      <c r="V90" s="8">
        <f>G90+U90</f>
        <v>0</v>
      </c>
      <c r="W90">
        <v>0</v>
      </c>
      <c r="X90">
        <v>10</v>
      </c>
      <c r="Y90">
        <v>2</v>
      </c>
      <c r="Z90">
        <v>0</v>
      </c>
      <c r="AA90">
        <v>0</v>
      </c>
      <c r="AB90">
        <v>1674</v>
      </c>
      <c r="AC90" s="4">
        <v>46267</v>
      </c>
      <c r="AD90" t="s">
        <v>1712</v>
      </c>
      <c r="AE90" t="s">
        <v>752</v>
      </c>
      <c r="AH90" t="s">
        <v>1399</v>
      </c>
      <c r="AI90" t="s">
        <v>1261</v>
      </c>
      <c r="AJ90" t="s">
        <v>1262</v>
      </c>
      <c r="AK90">
        <v>1440382</v>
      </c>
      <c r="AL90" t="s">
        <v>1399</v>
      </c>
      <c r="AM90" t="s">
        <v>1263</v>
      </c>
      <c r="AN90" t="s">
        <v>1713</v>
      </c>
      <c r="AO90" t="s">
        <v>1714</v>
      </c>
      <c r="AP90" s="5">
        <v>46267.685416666667</v>
      </c>
      <c r="AQ90" t="s">
        <v>1266</v>
      </c>
      <c r="AS90" t="s">
        <v>1268</v>
      </c>
      <c r="AT90" t="s">
        <v>1269</v>
      </c>
      <c r="AU90" t="s">
        <v>1270</v>
      </c>
    </row>
    <row r="91" spans="1:47" x14ac:dyDescent="0.25">
      <c r="A91" s="1" t="s">
        <v>738</v>
      </c>
      <c r="B91" s="1" t="s">
        <v>739</v>
      </c>
      <c r="C91" s="1" t="s">
        <v>740</v>
      </c>
      <c r="D91" s="1" t="s">
        <v>741</v>
      </c>
      <c r="E91" s="1" t="s">
        <v>38</v>
      </c>
      <c r="F91" s="1" t="s">
        <v>39</v>
      </c>
      <c r="G91" s="2">
        <v>-20300</v>
      </c>
      <c r="H91" s="2">
        <v>5210692.6399999997</v>
      </c>
      <c r="I91" s="1" t="s">
        <v>40</v>
      </c>
      <c r="J91" s="1" t="s">
        <v>49</v>
      </c>
      <c r="K91" s="1" t="s">
        <v>742</v>
      </c>
      <c r="L91" s="1" t="s">
        <v>39</v>
      </c>
      <c r="M91" s="1" t="s">
        <v>743</v>
      </c>
      <c r="P91">
        <v>1331783</v>
      </c>
      <c r="Q91" t="s">
        <v>1715</v>
      </c>
      <c r="R91" t="s">
        <v>1257</v>
      </c>
      <c r="S91" t="s">
        <v>1258</v>
      </c>
      <c r="T91" t="s">
        <v>1259</v>
      </c>
      <c r="U91">
        <v>20300</v>
      </c>
      <c r="V91" s="8">
        <f>G91+U91</f>
        <v>0</v>
      </c>
      <c r="W91">
        <v>0</v>
      </c>
      <c r="X91">
        <v>87</v>
      </c>
      <c r="Y91">
        <v>0</v>
      </c>
      <c r="Z91">
        <v>1</v>
      </c>
      <c r="AA91">
        <v>0</v>
      </c>
      <c r="AB91">
        <v>147678.97</v>
      </c>
      <c r="AC91" s="4">
        <v>46267</v>
      </c>
      <c r="AD91" t="s">
        <v>1721</v>
      </c>
      <c r="AE91" t="s">
        <v>738</v>
      </c>
      <c r="AH91" t="s">
        <v>1722</v>
      </c>
      <c r="AI91" t="s">
        <v>1261</v>
      </c>
      <c r="AJ91" t="s">
        <v>1262</v>
      </c>
      <c r="AK91">
        <v>982800</v>
      </c>
      <c r="AL91" t="s">
        <v>1722</v>
      </c>
      <c r="AM91" t="s">
        <v>1263</v>
      </c>
      <c r="AN91" t="s">
        <v>1723</v>
      </c>
      <c r="AO91">
        <v>3000222007</v>
      </c>
      <c r="AP91" s="5">
        <v>46267.69027777778</v>
      </c>
      <c r="AQ91" t="s">
        <v>1266</v>
      </c>
      <c r="AS91" t="s">
        <v>1268</v>
      </c>
      <c r="AT91" t="s">
        <v>1269</v>
      </c>
      <c r="AU91" t="s">
        <v>1270</v>
      </c>
    </row>
    <row r="92" spans="1:47" x14ac:dyDescent="0.25">
      <c r="A92" s="1" t="s">
        <v>727</v>
      </c>
      <c r="B92" s="1" t="s">
        <v>728</v>
      </c>
      <c r="C92" s="1" t="s">
        <v>728</v>
      </c>
      <c r="D92" s="1" t="s">
        <v>729</v>
      </c>
      <c r="E92" s="1" t="s">
        <v>38</v>
      </c>
      <c r="F92" s="1" t="s">
        <v>39</v>
      </c>
      <c r="G92" s="2">
        <v>-5286</v>
      </c>
      <c r="H92" s="2">
        <v>5199245.6399999997</v>
      </c>
      <c r="I92" s="1" t="s">
        <v>40</v>
      </c>
      <c r="J92" s="1" t="s">
        <v>49</v>
      </c>
      <c r="K92" s="1" t="s">
        <v>283</v>
      </c>
      <c r="L92" s="1" t="s">
        <v>39</v>
      </c>
      <c r="M92" s="1" t="s">
        <v>730</v>
      </c>
      <c r="P92">
        <v>395390</v>
      </c>
      <c r="Q92" t="s">
        <v>1609</v>
      </c>
      <c r="R92" t="s">
        <v>1257</v>
      </c>
      <c r="S92" t="s">
        <v>1258</v>
      </c>
      <c r="T92" t="s">
        <v>1259</v>
      </c>
      <c r="U92">
        <v>5286</v>
      </c>
      <c r="V92" s="8">
        <f>G92+U92</f>
        <v>0</v>
      </c>
      <c r="W92">
        <v>0</v>
      </c>
      <c r="X92">
        <v>57</v>
      </c>
      <c r="Y92">
        <v>0</v>
      </c>
      <c r="Z92">
        <v>0</v>
      </c>
      <c r="AA92">
        <v>0</v>
      </c>
      <c r="AB92">
        <v>3627558.8</v>
      </c>
      <c r="AC92" s="4">
        <v>46267</v>
      </c>
      <c r="AD92" t="s">
        <v>1730</v>
      </c>
      <c r="AE92" t="s">
        <v>727</v>
      </c>
      <c r="AH92" t="s">
        <v>1614</v>
      </c>
      <c r="AI92" t="s">
        <v>1261</v>
      </c>
      <c r="AJ92" t="s">
        <v>1262</v>
      </c>
      <c r="AK92">
        <v>765244</v>
      </c>
      <c r="AL92" t="s">
        <v>1614</v>
      </c>
      <c r="AM92" t="s">
        <v>1263</v>
      </c>
      <c r="AN92" t="s">
        <v>1731</v>
      </c>
      <c r="AO92" t="s">
        <v>1732</v>
      </c>
      <c r="AP92" s="5">
        <v>46267.692361111112</v>
      </c>
      <c r="AQ92" t="s">
        <v>1266</v>
      </c>
      <c r="AR92" t="s">
        <v>1267</v>
      </c>
      <c r="AS92" t="s">
        <v>1268</v>
      </c>
      <c r="AT92" t="s">
        <v>1269</v>
      </c>
      <c r="AU92" t="s">
        <v>1270</v>
      </c>
    </row>
    <row r="93" spans="1:47" x14ac:dyDescent="0.25">
      <c r="A93" s="1" t="s">
        <v>723</v>
      </c>
      <c r="B93" s="1" t="s">
        <v>724</v>
      </c>
      <c r="C93" s="1" t="s">
        <v>724</v>
      </c>
      <c r="D93" s="1" t="s">
        <v>725</v>
      </c>
      <c r="E93" s="1" t="s">
        <v>38</v>
      </c>
      <c r="F93" s="1" t="s">
        <v>39</v>
      </c>
      <c r="G93" s="2">
        <v>-4281</v>
      </c>
      <c r="H93" s="2">
        <v>5194916.6399999997</v>
      </c>
      <c r="I93" s="1" t="s">
        <v>40</v>
      </c>
      <c r="J93" s="1" t="s">
        <v>49</v>
      </c>
      <c r="K93" s="1" t="s">
        <v>283</v>
      </c>
      <c r="L93" s="1" t="s">
        <v>39</v>
      </c>
      <c r="M93" s="1" t="s">
        <v>726</v>
      </c>
      <c r="P93">
        <v>395390</v>
      </c>
      <c r="Q93" t="s">
        <v>1609</v>
      </c>
      <c r="R93" t="s">
        <v>1257</v>
      </c>
      <c r="S93" t="s">
        <v>1258</v>
      </c>
      <c r="T93" t="s">
        <v>1259</v>
      </c>
      <c r="U93">
        <v>4281</v>
      </c>
      <c r="V93" s="8">
        <f>G93+U93</f>
        <v>0</v>
      </c>
      <c r="W93">
        <v>0</v>
      </c>
      <c r="X93">
        <v>49</v>
      </c>
      <c r="Y93">
        <v>0</v>
      </c>
      <c r="Z93">
        <v>0</v>
      </c>
      <c r="AA93">
        <v>0</v>
      </c>
      <c r="AB93">
        <v>3618733.8</v>
      </c>
      <c r="AC93" s="4">
        <v>46267</v>
      </c>
      <c r="AD93" t="s">
        <v>1733</v>
      </c>
      <c r="AE93" t="s">
        <v>723</v>
      </c>
      <c r="AH93" t="s">
        <v>1614</v>
      </c>
      <c r="AI93" t="s">
        <v>1261</v>
      </c>
      <c r="AJ93" t="s">
        <v>1262</v>
      </c>
      <c r="AK93">
        <v>765244</v>
      </c>
      <c r="AL93" t="s">
        <v>1614</v>
      </c>
      <c r="AM93" t="s">
        <v>1263</v>
      </c>
      <c r="AN93" t="s">
        <v>1734</v>
      </c>
      <c r="AO93" t="s">
        <v>1735</v>
      </c>
      <c r="AP93" s="5">
        <v>46267.692361111112</v>
      </c>
      <c r="AQ93" t="s">
        <v>1266</v>
      </c>
      <c r="AR93" t="s">
        <v>1267</v>
      </c>
      <c r="AS93" t="s">
        <v>1268</v>
      </c>
      <c r="AT93" t="s">
        <v>1269</v>
      </c>
      <c r="AU93" t="s">
        <v>1270</v>
      </c>
    </row>
    <row r="94" spans="1:47" x14ac:dyDescent="0.25">
      <c r="A94" s="1" t="s">
        <v>710</v>
      </c>
      <c r="B94" s="1" t="s">
        <v>700</v>
      </c>
      <c r="C94" s="1" t="s">
        <v>700</v>
      </c>
      <c r="D94" s="1" t="s">
        <v>711</v>
      </c>
      <c r="E94" s="1" t="s">
        <v>38</v>
      </c>
      <c r="F94" s="1" t="s">
        <v>39</v>
      </c>
      <c r="G94" s="2">
        <v>-2940</v>
      </c>
      <c r="H94" s="2">
        <v>5168142.6399999997</v>
      </c>
      <c r="I94" s="1" t="s">
        <v>40</v>
      </c>
      <c r="J94" s="1" t="s">
        <v>49</v>
      </c>
      <c r="K94" s="1" t="s">
        <v>283</v>
      </c>
      <c r="L94" s="1" t="s">
        <v>39</v>
      </c>
      <c r="M94" s="1" t="s">
        <v>712</v>
      </c>
      <c r="P94">
        <v>395390</v>
      </c>
      <c r="Q94" t="s">
        <v>1609</v>
      </c>
      <c r="R94" t="s">
        <v>1257</v>
      </c>
      <c r="S94" t="s">
        <v>1258</v>
      </c>
      <c r="T94" t="s">
        <v>1259</v>
      </c>
      <c r="U94">
        <v>2940</v>
      </c>
      <c r="V94" s="8">
        <f>G94+U94</f>
        <v>0</v>
      </c>
      <c r="W94">
        <v>0</v>
      </c>
      <c r="X94">
        <v>40</v>
      </c>
      <c r="Y94">
        <v>0</v>
      </c>
      <c r="Z94">
        <v>0</v>
      </c>
      <c r="AA94">
        <v>0</v>
      </c>
      <c r="AB94">
        <v>3476902.8</v>
      </c>
      <c r="AC94" s="4">
        <v>46267</v>
      </c>
      <c r="AD94" t="s">
        <v>1754</v>
      </c>
      <c r="AE94" t="s">
        <v>710</v>
      </c>
      <c r="AH94" t="s">
        <v>1614</v>
      </c>
      <c r="AI94" t="s">
        <v>1261</v>
      </c>
      <c r="AJ94" t="s">
        <v>1262</v>
      </c>
      <c r="AK94">
        <v>765244</v>
      </c>
      <c r="AL94" t="s">
        <v>1614</v>
      </c>
      <c r="AM94" t="s">
        <v>1263</v>
      </c>
      <c r="AN94" t="s">
        <v>1755</v>
      </c>
      <c r="AO94" t="s">
        <v>1756</v>
      </c>
      <c r="AP94" s="5">
        <v>46267.692361111112</v>
      </c>
      <c r="AQ94" t="s">
        <v>1266</v>
      </c>
      <c r="AR94" t="s">
        <v>1267</v>
      </c>
      <c r="AS94" t="s">
        <v>1268</v>
      </c>
      <c r="AT94" t="s">
        <v>1269</v>
      </c>
      <c r="AU94" t="s">
        <v>1270</v>
      </c>
    </row>
    <row r="95" spans="1:47" x14ac:dyDescent="0.25">
      <c r="A95" s="1" t="s">
        <v>698</v>
      </c>
      <c r="B95" s="1" t="s">
        <v>699</v>
      </c>
      <c r="C95" s="1" t="s">
        <v>700</v>
      </c>
      <c r="D95" s="1" t="s">
        <v>701</v>
      </c>
      <c r="E95" s="1" t="s">
        <v>38</v>
      </c>
      <c r="F95" s="1" t="s">
        <v>39</v>
      </c>
      <c r="G95" s="2">
        <v>-56622</v>
      </c>
      <c r="H95" s="2">
        <v>5095328.6399999997</v>
      </c>
      <c r="I95" s="1" t="s">
        <v>40</v>
      </c>
      <c r="J95" s="1" t="s">
        <v>49</v>
      </c>
      <c r="K95" s="1" t="s">
        <v>279</v>
      </c>
      <c r="L95" s="1" t="s">
        <v>39</v>
      </c>
      <c r="M95" s="1" t="s">
        <v>702</v>
      </c>
      <c r="P95">
        <v>395390</v>
      </c>
      <c r="Q95" t="s">
        <v>1609</v>
      </c>
      <c r="R95" t="s">
        <v>1257</v>
      </c>
      <c r="S95" t="s">
        <v>1258</v>
      </c>
      <c r="T95" t="s">
        <v>1259</v>
      </c>
      <c r="U95">
        <v>56622</v>
      </c>
      <c r="V95" s="8">
        <f>G95+U95</f>
        <v>0</v>
      </c>
      <c r="W95">
        <v>0</v>
      </c>
      <c r="X95">
        <v>136</v>
      </c>
      <c r="Y95">
        <v>0</v>
      </c>
      <c r="Z95">
        <v>0</v>
      </c>
      <c r="AA95">
        <v>0</v>
      </c>
      <c r="AB95">
        <v>3479882.8</v>
      </c>
      <c r="AC95" s="4">
        <v>46267</v>
      </c>
      <c r="AD95" t="s">
        <v>1751</v>
      </c>
      <c r="AE95" t="s">
        <v>698</v>
      </c>
      <c r="AH95" t="s">
        <v>1564</v>
      </c>
      <c r="AI95" t="s">
        <v>1261</v>
      </c>
      <c r="AJ95" t="s">
        <v>1262</v>
      </c>
      <c r="AK95">
        <v>852648</v>
      </c>
      <c r="AL95" t="s">
        <v>1564</v>
      </c>
      <c r="AM95" t="s">
        <v>1263</v>
      </c>
      <c r="AN95" t="s">
        <v>1752</v>
      </c>
      <c r="AO95" t="s">
        <v>1753</v>
      </c>
      <c r="AP95" s="5">
        <v>46267.692361111112</v>
      </c>
      <c r="AQ95" t="s">
        <v>1266</v>
      </c>
      <c r="AR95" t="s">
        <v>1267</v>
      </c>
      <c r="AS95" t="s">
        <v>1268</v>
      </c>
      <c r="AT95" t="s">
        <v>1269</v>
      </c>
      <c r="AU95" t="s">
        <v>1270</v>
      </c>
    </row>
    <row r="96" spans="1:47" x14ac:dyDescent="0.25">
      <c r="A96" s="1" t="s">
        <v>640</v>
      </c>
      <c r="B96" s="1" t="s">
        <v>634</v>
      </c>
      <c r="C96" s="1" t="s">
        <v>641</v>
      </c>
      <c r="D96" s="1" t="s">
        <v>642</v>
      </c>
      <c r="E96" s="1" t="s">
        <v>38</v>
      </c>
      <c r="F96" s="1" t="s">
        <v>39</v>
      </c>
      <c r="G96" s="2">
        <v>-18868</v>
      </c>
      <c r="H96" s="2">
        <v>4930435.6399999997</v>
      </c>
      <c r="I96" s="1" t="s">
        <v>40</v>
      </c>
      <c r="J96" s="1" t="s">
        <v>49</v>
      </c>
      <c r="K96" s="1" t="s">
        <v>279</v>
      </c>
      <c r="L96" s="1" t="s">
        <v>39</v>
      </c>
      <c r="M96" s="1" t="s">
        <v>643</v>
      </c>
      <c r="P96">
        <v>395390</v>
      </c>
      <c r="Q96" t="s">
        <v>1609</v>
      </c>
      <c r="R96" t="s">
        <v>1257</v>
      </c>
      <c r="S96" t="s">
        <v>1258</v>
      </c>
      <c r="T96" t="s">
        <v>1259</v>
      </c>
      <c r="U96">
        <v>18868</v>
      </c>
      <c r="V96" s="8">
        <f>G96+U96</f>
        <v>0</v>
      </c>
      <c r="W96">
        <v>0</v>
      </c>
      <c r="X96">
        <v>82</v>
      </c>
      <c r="Y96">
        <v>0</v>
      </c>
      <c r="Z96">
        <v>0</v>
      </c>
      <c r="AA96">
        <v>0</v>
      </c>
      <c r="AB96">
        <v>3061638.8</v>
      </c>
      <c r="AC96" s="4">
        <v>46267</v>
      </c>
      <c r="AD96" t="s">
        <v>1806</v>
      </c>
      <c r="AE96" t="s">
        <v>640</v>
      </c>
      <c r="AH96" t="s">
        <v>1564</v>
      </c>
      <c r="AI96" t="s">
        <v>1261</v>
      </c>
      <c r="AJ96" t="s">
        <v>1262</v>
      </c>
      <c r="AK96">
        <v>852648</v>
      </c>
      <c r="AL96" t="s">
        <v>1564</v>
      </c>
      <c r="AM96" t="s">
        <v>1263</v>
      </c>
      <c r="AN96" t="s">
        <v>1807</v>
      </c>
      <c r="AO96" t="s">
        <v>1808</v>
      </c>
      <c r="AP96" s="5">
        <v>46267.692361111112</v>
      </c>
      <c r="AQ96" t="s">
        <v>1266</v>
      </c>
      <c r="AR96" t="s">
        <v>1267</v>
      </c>
      <c r="AS96" t="s">
        <v>1268</v>
      </c>
      <c r="AT96" t="s">
        <v>1269</v>
      </c>
      <c r="AU96" t="s">
        <v>1270</v>
      </c>
    </row>
    <row r="97" spans="1:47" x14ac:dyDescent="0.25">
      <c r="A97" s="1" t="s">
        <v>630</v>
      </c>
      <c r="B97" s="1" t="s">
        <v>596</v>
      </c>
      <c r="C97" s="1" t="s">
        <v>596</v>
      </c>
      <c r="D97" s="1" t="s">
        <v>631</v>
      </c>
      <c r="E97" s="1" t="s">
        <v>38</v>
      </c>
      <c r="F97" s="1" t="s">
        <v>39</v>
      </c>
      <c r="G97" s="2">
        <v>-3561</v>
      </c>
      <c r="H97" s="2">
        <v>4917172.6399999997</v>
      </c>
      <c r="I97" s="1" t="s">
        <v>40</v>
      </c>
      <c r="J97" s="1" t="s">
        <v>49</v>
      </c>
      <c r="K97" s="1" t="s">
        <v>283</v>
      </c>
      <c r="L97" s="1" t="s">
        <v>39</v>
      </c>
      <c r="M97" s="1" t="s">
        <v>632</v>
      </c>
      <c r="P97">
        <v>395390</v>
      </c>
      <c r="Q97" t="s">
        <v>1609</v>
      </c>
      <c r="R97" t="s">
        <v>1257</v>
      </c>
      <c r="S97" t="s">
        <v>1258</v>
      </c>
      <c r="T97" t="s">
        <v>1259</v>
      </c>
      <c r="U97">
        <v>3561</v>
      </c>
      <c r="V97" s="8">
        <f>G97+U97</f>
        <v>0</v>
      </c>
      <c r="W97">
        <v>0</v>
      </c>
      <c r="X97">
        <v>49</v>
      </c>
      <c r="Y97">
        <v>0</v>
      </c>
      <c r="Z97">
        <v>0</v>
      </c>
      <c r="AA97">
        <v>0</v>
      </c>
      <c r="AB97">
        <v>2815330.8</v>
      </c>
      <c r="AC97" s="4">
        <v>46267</v>
      </c>
      <c r="AD97" t="s">
        <v>1838</v>
      </c>
      <c r="AE97" t="s">
        <v>630</v>
      </c>
      <c r="AH97" t="s">
        <v>1614</v>
      </c>
      <c r="AI97" t="s">
        <v>1261</v>
      </c>
      <c r="AJ97" t="s">
        <v>1262</v>
      </c>
      <c r="AK97">
        <v>765244</v>
      </c>
      <c r="AL97" t="s">
        <v>1614</v>
      </c>
      <c r="AM97" t="s">
        <v>1263</v>
      </c>
      <c r="AN97" t="s">
        <v>1839</v>
      </c>
      <c r="AO97" t="s">
        <v>1840</v>
      </c>
      <c r="AP97" s="5">
        <v>46267.692361111112</v>
      </c>
      <c r="AQ97" t="s">
        <v>1266</v>
      </c>
      <c r="AR97" t="s">
        <v>1267</v>
      </c>
      <c r="AS97" t="s">
        <v>1268</v>
      </c>
      <c r="AT97" t="s">
        <v>1269</v>
      </c>
      <c r="AU97" t="s">
        <v>1270</v>
      </c>
    </row>
    <row r="98" spans="1:47" x14ac:dyDescent="0.25">
      <c r="A98" s="1" t="s">
        <v>599</v>
      </c>
      <c r="B98" s="1" t="s">
        <v>578</v>
      </c>
      <c r="C98" s="1" t="s">
        <v>600</v>
      </c>
      <c r="D98" s="1" t="s">
        <v>601</v>
      </c>
      <c r="E98" s="1" t="s">
        <v>38</v>
      </c>
      <c r="F98" s="1" t="s">
        <v>39</v>
      </c>
      <c r="G98" s="2">
        <v>-7603</v>
      </c>
      <c r="H98" s="2">
        <v>4828146.6399999997</v>
      </c>
      <c r="I98" s="1" t="s">
        <v>40</v>
      </c>
      <c r="J98" s="1" t="s">
        <v>49</v>
      </c>
      <c r="K98" s="1" t="s">
        <v>289</v>
      </c>
      <c r="L98" s="1" t="s">
        <v>39</v>
      </c>
      <c r="M98" s="1" t="s">
        <v>602</v>
      </c>
      <c r="P98">
        <v>395390</v>
      </c>
      <c r="Q98" t="s">
        <v>1609</v>
      </c>
      <c r="R98" t="s">
        <v>1257</v>
      </c>
      <c r="S98" t="s">
        <v>1258</v>
      </c>
      <c r="T98" t="s">
        <v>1259</v>
      </c>
      <c r="U98">
        <v>7603</v>
      </c>
      <c r="V98" s="8">
        <f>G98+U98</f>
        <v>0</v>
      </c>
      <c r="W98">
        <v>0</v>
      </c>
      <c r="X98">
        <v>63</v>
      </c>
      <c r="Y98">
        <v>0</v>
      </c>
      <c r="Z98">
        <v>0</v>
      </c>
      <c r="AA98">
        <v>0</v>
      </c>
      <c r="AB98">
        <v>2703065.8</v>
      </c>
      <c r="AC98" s="4">
        <v>46267</v>
      </c>
      <c r="AD98" t="s">
        <v>1865</v>
      </c>
      <c r="AE98" t="s">
        <v>599</v>
      </c>
      <c r="AH98" t="s">
        <v>1627</v>
      </c>
      <c r="AI98" t="s">
        <v>1261</v>
      </c>
      <c r="AJ98" t="s">
        <v>1262</v>
      </c>
      <c r="AK98">
        <v>350050</v>
      </c>
      <c r="AL98" t="s">
        <v>1627</v>
      </c>
      <c r="AM98" t="s">
        <v>1263</v>
      </c>
      <c r="AN98" t="s">
        <v>1866</v>
      </c>
      <c r="AO98" t="s">
        <v>1867</v>
      </c>
      <c r="AP98" s="5">
        <v>46267.692361111112</v>
      </c>
      <c r="AQ98" t="s">
        <v>1266</v>
      </c>
      <c r="AR98" t="s">
        <v>1267</v>
      </c>
      <c r="AS98" t="s">
        <v>1268</v>
      </c>
      <c r="AT98" t="s">
        <v>1269</v>
      </c>
      <c r="AU98" t="s">
        <v>1270</v>
      </c>
    </row>
    <row r="99" spans="1:47" x14ac:dyDescent="0.25">
      <c r="A99" s="1" t="s">
        <v>562</v>
      </c>
      <c r="B99" s="1" t="s">
        <v>556</v>
      </c>
      <c r="C99" s="1" t="s">
        <v>556</v>
      </c>
      <c r="D99" s="1" t="s">
        <v>563</v>
      </c>
      <c r="E99" s="1" t="s">
        <v>38</v>
      </c>
      <c r="F99" s="1" t="s">
        <v>39</v>
      </c>
      <c r="G99" s="2">
        <v>-1810</v>
      </c>
      <c r="H99" s="2">
        <v>4720060.6399999997</v>
      </c>
      <c r="I99" s="1" t="s">
        <v>40</v>
      </c>
      <c r="J99" s="1" t="s">
        <v>49</v>
      </c>
      <c r="K99" s="1" t="s">
        <v>283</v>
      </c>
      <c r="L99" s="1" t="s">
        <v>39</v>
      </c>
      <c r="M99" s="1" t="s">
        <v>564</v>
      </c>
      <c r="P99">
        <v>395390</v>
      </c>
      <c r="Q99" t="s">
        <v>1609</v>
      </c>
      <c r="R99" t="s">
        <v>1257</v>
      </c>
      <c r="S99" t="s">
        <v>1258</v>
      </c>
      <c r="T99" t="s">
        <v>1259</v>
      </c>
      <c r="U99">
        <v>1810</v>
      </c>
      <c r="V99" s="8">
        <f>G99+U99</f>
        <v>0</v>
      </c>
      <c r="W99">
        <v>0</v>
      </c>
      <c r="X99">
        <v>35</v>
      </c>
      <c r="Y99">
        <v>0</v>
      </c>
      <c r="Z99">
        <v>0</v>
      </c>
      <c r="AA99">
        <v>0</v>
      </c>
      <c r="AB99">
        <v>2345985.7999999998</v>
      </c>
      <c r="AC99" s="4">
        <v>46267</v>
      </c>
      <c r="AD99" t="s">
        <v>1926</v>
      </c>
      <c r="AE99" t="s">
        <v>562</v>
      </c>
      <c r="AH99" t="s">
        <v>1614</v>
      </c>
      <c r="AI99" t="s">
        <v>1261</v>
      </c>
      <c r="AJ99" t="s">
        <v>1262</v>
      </c>
      <c r="AK99">
        <v>765244</v>
      </c>
      <c r="AL99" t="s">
        <v>1614</v>
      </c>
      <c r="AM99" t="s">
        <v>1263</v>
      </c>
      <c r="AN99" t="s">
        <v>1927</v>
      </c>
      <c r="AO99" t="s">
        <v>1928</v>
      </c>
      <c r="AP99" s="5">
        <v>46267.692361111112</v>
      </c>
      <c r="AQ99" t="s">
        <v>1266</v>
      </c>
      <c r="AR99" t="s">
        <v>1267</v>
      </c>
      <c r="AS99" t="s">
        <v>1268</v>
      </c>
      <c r="AT99" t="s">
        <v>1269</v>
      </c>
      <c r="AU99" t="s">
        <v>1270</v>
      </c>
    </row>
    <row r="100" spans="1:47" x14ac:dyDescent="0.25">
      <c r="A100" s="1" t="s">
        <v>525</v>
      </c>
      <c r="B100" s="1" t="s">
        <v>526</v>
      </c>
      <c r="C100" s="1" t="s">
        <v>526</v>
      </c>
      <c r="D100" s="1" t="s">
        <v>527</v>
      </c>
      <c r="E100" s="1" t="s">
        <v>38</v>
      </c>
      <c r="F100" s="1" t="s">
        <v>39</v>
      </c>
      <c r="G100" s="2">
        <v>-14782</v>
      </c>
      <c r="H100" s="2">
        <v>4558788.6399999997</v>
      </c>
      <c r="I100" s="1" t="s">
        <v>40</v>
      </c>
      <c r="J100" s="1" t="s">
        <v>49</v>
      </c>
      <c r="K100" s="1" t="s">
        <v>283</v>
      </c>
      <c r="L100" s="1" t="s">
        <v>39</v>
      </c>
      <c r="M100" s="1" t="s">
        <v>528</v>
      </c>
      <c r="P100">
        <v>395390</v>
      </c>
      <c r="Q100" t="s">
        <v>1609</v>
      </c>
      <c r="R100" t="s">
        <v>1257</v>
      </c>
      <c r="S100" t="s">
        <v>1258</v>
      </c>
      <c r="T100" t="s">
        <v>1259</v>
      </c>
      <c r="U100">
        <v>14782</v>
      </c>
      <c r="V100" s="8">
        <f>G100+U100</f>
        <v>0</v>
      </c>
      <c r="W100">
        <v>0</v>
      </c>
      <c r="X100">
        <v>72</v>
      </c>
      <c r="Y100">
        <v>0</v>
      </c>
      <c r="Z100">
        <v>0</v>
      </c>
      <c r="AA100">
        <v>0</v>
      </c>
      <c r="AB100">
        <v>2610872.7999999998</v>
      </c>
      <c r="AC100" s="4">
        <v>46267</v>
      </c>
      <c r="AD100" t="s">
        <v>1874</v>
      </c>
      <c r="AE100" t="s">
        <v>525</v>
      </c>
      <c r="AH100" t="s">
        <v>1614</v>
      </c>
      <c r="AI100" t="s">
        <v>1261</v>
      </c>
      <c r="AJ100" t="s">
        <v>1262</v>
      </c>
      <c r="AK100">
        <v>765244</v>
      </c>
      <c r="AL100" t="s">
        <v>1614</v>
      </c>
      <c r="AM100" t="s">
        <v>1263</v>
      </c>
      <c r="AN100" t="s">
        <v>1875</v>
      </c>
      <c r="AO100" t="s">
        <v>1876</v>
      </c>
      <c r="AP100" s="5">
        <v>46267.692361111112</v>
      </c>
      <c r="AQ100" t="s">
        <v>1266</v>
      </c>
      <c r="AR100" t="s">
        <v>1267</v>
      </c>
      <c r="AS100" t="s">
        <v>1268</v>
      </c>
      <c r="AT100" t="s">
        <v>1269</v>
      </c>
      <c r="AU100" t="s">
        <v>1270</v>
      </c>
    </row>
    <row r="101" spans="1:47" x14ac:dyDescent="0.25">
      <c r="A101" s="1" t="s">
        <v>519</v>
      </c>
      <c r="B101" s="1" t="s">
        <v>491</v>
      </c>
      <c r="C101" s="1" t="s">
        <v>491</v>
      </c>
      <c r="D101" s="1" t="s">
        <v>520</v>
      </c>
      <c r="E101" s="1" t="s">
        <v>38</v>
      </c>
      <c r="F101" s="1" t="s">
        <v>39</v>
      </c>
      <c r="G101" s="2">
        <v>-1595</v>
      </c>
      <c r="H101" s="2">
        <v>4551612.6399999997</v>
      </c>
      <c r="I101" s="1" t="s">
        <v>40</v>
      </c>
      <c r="J101" s="1" t="s">
        <v>49</v>
      </c>
      <c r="K101" s="1" t="s">
        <v>283</v>
      </c>
      <c r="L101" s="1" t="s">
        <v>39</v>
      </c>
      <c r="M101" s="1" t="s">
        <v>521</v>
      </c>
      <c r="P101">
        <v>395390</v>
      </c>
      <c r="Q101" t="s">
        <v>1609</v>
      </c>
      <c r="R101" t="s">
        <v>1257</v>
      </c>
      <c r="S101" t="s">
        <v>1258</v>
      </c>
      <c r="T101" t="s">
        <v>1259</v>
      </c>
      <c r="U101">
        <v>1595</v>
      </c>
      <c r="V101" s="8">
        <f>G101+U101</f>
        <v>0</v>
      </c>
      <c r="W101">
        <v>0</v>
      </c>
      <c r="X101">
        <v>35</v>
      </c>
      <c r="Y101">
        <v>0</v>
      </c>
      <c r="Z101">
        <v>0</v>
      </c>
      <c r="AA101">
        <v>0</v>
      </c>
      <c r="AB101">
        <v>2211816.7999999998</v>
      </c>
      <c r="AC101" s="4">
        <v>46267</v>
      </c>
      <c r="AD101" t="s">
        <v>1950</v>
      </c>
      <c r="AE101" t="s">
        <v>519</v>
      </c>
      <c r="AH101" t="s">
        <v>1614</v>
      </c>
      <c r="AI101" t="s">
        <v>1261</v>
      </c>
      <c r="AJ101" t="s">
        <v>1262</v>
      </c>
      <c r="AK101">
        <v>765244</v>
      </c>
      <c r="AL101" t="s">
        <v>1614</v>
      </c>
      <c r="AM101" t="s">
        <v>1263</v>
      </c>
      <c r="AN101" t="s">
        <v>1951</v>
      </c>
      <c r="AO101" t="s">
        <v>1952</v>
      </c>
      <c r="AP101" s="5">
        <v>46267.692361111112</v>
      </c>
      <c r="AQ101" t="s">
        <v>1266</v>
      </c>
      <c r="AR101" t="s">
        <v>1267</v>
      </c>
      <c r="AS101" t="s">
        <v>1268</v>
      </c>
      <c r="AT101" t="s">
        <v>1269</v>
      </c>
      <c r="AU101" t="s">
        <v>1270</v>
      </c>
    </row>
    <row r="102" spans="1:47" x14ac:dyDescent="0.25">
      <c r="A102" s="1" t="s">
        <v>473</v>
      </c>
      <c r="B102" s="1" t="s">
        <v>474</v>
      </c>
      <c r="C102" s="1" t="s">
        <v>474</v>
      </c>
      <c r="D102" s="1" t="s">
        <v>475</v>
      </c>
      <c r="E102" s="1" t="s">
        <v>38</v>
      </c>
      <c r="F102" s="1" t="s">
        <v>39</v>
      </c>
      <c r="G102" s="2">
        <v>-30000</v>
      </c>
      <c r="H102" s="2">
        <v>4358709.6399999997</v>
      </c>
      <c r="I102" s="1" t="s">
        <v>40</v>
      </c>
      <c r="J102" s="1" t="s">
        <v>41</v>
      </c>
      <c r="K102" s="1" t="s">
        <v>476</v>
      </c>
      <c r="L102" s="1" t="s">
        <v>39</v>
      </c>
      <c r="M102" s="1" t="s">
        <v>39</v>
      </c>
      <c r="P102">
        <v>110311</v>
      </c>
      <c r="Q102" t="s">
        <v>1415</v>
      </c>
      <c r="R102" t="s">
        <v>1416</v>
      </c>
      <c r="S102" t="s">
        <v>1258</v>
      </c>
      <c r="T102" t="s">
        <v>1259</v>
      </c>
      <c r="U102">
        <v>30000</v>
      </c>
      <c r="V102" s="8">
        <f>G102+U102</f>
        <v>0</v>
      </c>
      <c r="W102">
        <v>0</v>
      </c>
      <c r="X102">
        <v>15</v>
      </c>
      <c r="Y102">
        <v>0</v>
      </c>
      <c r="Z102">
        <v>1</v>
      </c>
      <c r="AA102">
        <v>0</v>
      </c>
      <c r="AB102">
        <v>64469</v>
      </c>
      <c r="AC102" s="4">
        <v>46267</v>
      </c>
      <c r="AD102" t="s">
        <v>1971</v>
      </c>
      <c r="AE102" t="s">
        <v>473</v>
      </c>
      <c r="AI102" t="s">
        <v>1261</v>
      </c>
      <c r="AJ102" t="s">
        <v>1262</v>
      </c>
      <c r="AK102">
        <v>4761272</v>
      </c>
      <c r="AM102" t="s">
        <v>1263</v>
      </c>
      <c r="AN102" t="s">
        <v>1972</v>
      </c>
      <c r="AO102" t="s">
        <v>1973</v>
      </c>
      <c r="AP102" s="5">
        <v>46267.693055555559</v>
      </c>
      <c r="AQ102" t="s">
        <v>1266</v>
      </c>
      <c r="AS102" t="s">
        <v>1268</v>
      </c>
      <c r="AT102" t="s">
        <v>1269</v>
      </c>
      <c r="AU102" t="s">
        <v>1270</v>
      </c>
    </row>
    <row r="103" spans="1:47" x14ac:dyDescent="0.25">
      <c r="A103" s="1" t="s">
        <v>452</v>
      </c>
      <c r="B103" s="1" t="s">
        <v>453</v>
      </c>
      <c r="C103" s="1" t="s">
        <v>453</v>
      </c>
      <c r="D103" s="1" t="s">
        <v>454</v>
      </c>
      <c r="E103" s="1" t="s">
        <v>38</v>
      </c>
      <c r="F103" s="1" t="s">
        <v>39</v>
      </c>
      <c r="G103" s="2">
        <v>-225</v>
      </c>
      <c r="H103" s="2">
        <v>4180333.64</v>
      </c>
      <c r="I103" s="1" t="s">
        <v>40</v>
      </c>
      <c r="J103" s="1" t="s">
        <v>41</v>
      </c>
      <c r="K103" s="1" t="s">
        <v>455</v>
      </c>
      <c r="L103" s="1" t="s">
        <v>39</v>
      </c>
      <c r="M103" s="1" t="s">
        <v>39</v>
      </c>
      <c r="P103">
        <v>1326697</v>
      </c>
      <c r="Q103" t="s">
        <v>1358</v>
      </c>
      <c r="R103" t="s">
        <v>1286</v>
      </c>
      <c r="T103" t="s">
        <v>1259</v>
      </c>
      <c r="U103">
        <v>225</v>
      </c>
      <c r="V103" s="8">
        <f>G103+U103</f>
        <v>0</v>
      </c>
      <c r="W103">
        <v>0</v>
      </c>
      <c r="X103">
        <v>10</v>
      </c>
      <c r="Y103">
        <v>2</v>
      </c>
      <c r="Z103">
        <v>0</v>
      </c>
      <c r="AA103">
        <v>0</v>
      </c>
      <c r="AB103">
        <v>13144</v>
      </c>
      <c r="AC103" s="4">
        <v>46267</v>
      </c>
      <c r="AD103" t="s">
        <v>1986</v>
      </c>
      <c r="AE103" t="s">
        <v>452</v>
      </c>
      <c r="AI103" t="s">
        <v>1261</v>
      </c>
      <c r="AJ103" t="s">
        <v>1262</v>
      </c>
      <c r="AK103">
        <v>1326697</v>
      </c>
      <c r="AM103" t="s">
        <v>1263</v>
      </c>
      <c r="AN103" t="s">
        <v>1987</v>
      </c>
      <c r="AO103" t="s">
        <v>1988</v>
      </c>
      <c r="AP103" s="5">
        <v>46267.698611111111</v>
      </c>
      <c r="AQ103" t="s">
        <v>1266</v>
      </c>
      <c r="AS103" t="s">
        <v>1268</v>
      </c>
      <c r="AT103" t="s">
        <v>1269</v>
      </c>
      <c r="AU103" t="s">
        <v>1270</v>
      </c>
    </row>
    <row r="104" spans="1:47" x14ac:dyDescent="0.25">
      <c r="A104" s="1" t="s">
        <v>443</v>
      </c>
      <c r="B104" s="1" t="s">
        <v>444</v>
      </c>
      <c r="C104" s="1" t="s">
        <v>445</v>
      </c>
      <c r="D104" s="1" t="s">
        <v>446</v>
      </c>
      <c r="E104" s="1" t="s">
        <v>38</v>
      </c>
      <c r="F104" s="1" t="s">
        <v>39</v>
      </c>
      <c r="G104" s="2">
        <v>-10388</v>
      </c>
      <c r="H104" s="2">
        <v>4167617.64</v>
      </c>
      <c r="I104" s="1" t="s">
        <v>40</v>
      </c>
      <c r="J104" s="1" t="s">
        <v>49</v>
      </c>
      <c r="K104" s="1" t="s">
        <v>283</v>
      </c>
      <c r="L104" s="1" t="s">
        <v>39</v>
      </c>
      <c r="M104" s="1" t="s">
        <v>447</v>
      </c>
      <c r="P104">
        <v>395390</v>
      </c>
      <c r="Q104" t="s">
        <v>1609</v>
      </c>
      <c r="R104" t="s">
        <v>1257</v>
      </c>
      <c r="S104" t="s">
        <v>1258</v>
      </c>
      <c r="T104" t="s">
        <v>1259</v>
      </c>
      <c r="U104">
        <v>10388</v>
      </c>
      <c r="V104" s="8">
        <f>G104+U104</f>
        <v>0</v>
      </c>
      <c r="W104">
        <v>0</v>
      </c>
      <c r="X104">
        <v>72</v>
      </c>
      <c r="Y104">
        <v>0</v>
      </c>
      <c r="Z104">
        <v>0</v>
      </c>
      <c r="AA104">
        <v>0</v>
      </c>
      <c r="AB104">
        <v>2032168</v>
      </c>
      <c r="AC104" s="4">
        <v>46267</v>
      </c>
      <c r="AD104" t="s">
        <v>1997</v>
      </c>
      <c r="AE104" t="s">
        <v>443</v>
      </c>
      <c r="AH104" t="s">
        <v>1614</v>
      </c>
      <c r="AI104" t="s">
        <v>1261</v>
      </c>
      <c r="AJ104" t="s">
        <v>1262</v>
      </c>
      <c r="AK104">
        <v>765244</v>
      </c>
      <c r="AL104" t="s">
        <v>1614</v>
      </c>
      <c r="AM104" t="s">
        <v>1263</v>
      </c>
      <c r="AN104" t="s">
        <v>1998</v>
      </c>
      <c r="AO104" t="s">
        <v>1999</v>
      </c>
      <c r="AP104" s="5">
        <v>46267.705555555556</v>
      </c>
      <c r="AQ104" t="s">
        <v>1266</v>
      </c>
      <c r="AR104" t="s">
        <v>1267</v>
      </c>
      <c r="AS104" t="s">
        <v>1268</v>
      </c>
      <c r="AT104" t="s">
        <v>1269</v>
      </c>
      <c r="AU104" t="s">
        <v>1270</v>
      </c>
    </row>
    <row r="105" spans="1:47" x14ac:dyDescent="0.25">
      <c r="A105" s="1" t="s">
        <v>409</v>
      </c>
      <c r="B105" s="1" t="s">
        <v>410</v>
      </c>
      <c r="C105" s="1" t="s">
        <v>410</v>
      </c>
      <c r="D105" s="1" t="s">
        <v>411</v>
      </c>
      <c r="E105" s="1" t="s">
        <v>38</v>
      </c>
      <c r="F105" s="1" t="s">
        <v>39</v>
      </c>
      <c r="G105" s="2">
        <v>-3753</v>
      </c>
      <c r="H105" s="2">
        <v>4052016.64</v>
      </c>
      <c r="I105" s="1" t="s">
        <v>40</v>
      </c>
      <c r="J105" s="1" t="s">
        <v>49</v>
      </c>
      <c r="K105" s="1" t="s">
        <v>283</v>
      </c>
      <c r="L105" s="1" t="s">
        <v>39</v>
      </c>
      <c r="M105" s="1" t="s">
        <v>412</v>
      </c>
      <c r="P105">
        <v>395390</v>
      </c>
      <c r="Q105" t="s">
        <v>1609</v>
      </c>
      <c r="R105" t="s">
        <v>1257</v>
      </c>
      <c r="S105" t="s">
        <v>1258</v>
      </c>
      <c r="T105" t="s">
        <v>1259</v>
      </c>
      <c r="U105">
        <v>3753</v>
      </c>
      <c r="V105" s="8">
        <f>G105+U105</f>
        <v>0</v>
      </c>
      <c r="W105">
        <v>0</v>
      </c>
      <c r="X105">
        <v>49</v>
      </c>
      <c r="Y105">
        <v>0</v>
      </c>
      <c r="Z105">
        <v>0</v>
      </c>
      <c r="AA105">
        <v>0</v>
      </c>
      <c r="AB105">
        <v>1330114.8</v>
      </c>
      <c r="AC105" s="4">
        <v>46267</v>
      </c>
      <c r="AD105" t="s">
        <v>2028</v>
      </c>
      <c r="AE105" t="s">
        <v>409</v>
      </c>
      <c r="AH105" t="s">
        <v>1614</v>
      </c>
      <c r="AI105" t="s">
        <v>1261</v>
      </c>
      <c r="AJ105" t="s">
        <v>1262</v>
      </c>
      <c r="AK105">
        <v>765244</v>
      </c>
      <c r="AL105" t="s">
        <v>1614</v>
      </c>
      <c r="AM105" t="s">
        <v>1263</v>
      </c>
      <c r="AN105" t="s">
        <v>2029</v>
      </c>
      <c r="AO105" t="s">
        <v>2030</v>
      </c>
      <c r="AP105" s="5">
        <v>46267.705555555556</v>
      </c>
      <c r="AQ105" t="s">
        <v>1266</v>
      </c>
      <c r="AR105" t="s">
        <v>1267</v>
      </c>
      <c r="AS105" t="s">
        <v>1268</v>
      </c>
      <c r="AT105" t="s">
        <v>1269</v>
      </c>
      <c r="AU105" t="s">
        <v>1270</v>
      </c>
    </row>
    <row r="106" spans="1:47" x14ac:dyDescent="0.25">
      <c r="A106" s="1" t="s">
        <v>389</v>
      </c>
      <c r="B106" s="1" t="s">
        <v>386</v>
      </c>
      <c r="C106" s="1" t="s">
        <v>386</v>
      </c>
      <c r="D106" s="1" t="s">
        <v>390</v>
      </c>
      <c r="E106" s="1" t="s">
        <v>38</v>
      </c>
      <c r="F106" s="1" t="s">
        <v>39</v>
      </c>
      <c r="G106" s="2">
        <v>-3655</v>
      </c>
      <c r="H106" s="2">
        <v>3990405.64</v>
      </c>
      <c r="I106" s="1" t="s">
        <v>40</v>
      </c>
      <c r="J106" s="1" t="s">
        <v>49</v>
      </c>
      <c r="K106" s="1" t="s">
        <v>283</v>
      </c>
      <c r="L106" s="1" t="s">
        <v>39</v>
      </c>
      <c r="M106" s="1" t="s">
        <v>391</v>
      </c>
      <c r="P106">
        <v>395390</v>
      </c>
      <c r="Q106" t="s">
        <v>1609</v>
      </c>
      <c r="R106" t="s">
        <v>1257</v>
      </c>
      <c r="S106" t="s">
        <v>1258</v>
      </c>
      <c r="T106" t="s">
        <v>1259</v>
      </c>
      <c r="U106">
        <v>3655</v>
      </c>
      <c r="V106" s="8">
        <f>G106+U106</f>
        <v>0</v>
      </c>
      <c r="W106">
        <v>0</v>
      </c>
      <c r="X106">
        <v>49</v>
      </c>
      <c r="Y106">
        <v>0</v>
      </c>
      <c r="Z106">
        <v>0</v>
      </c>
      <c r="AA106">
        <v>0</v>
      </c>
      <c r="AB106">
        <v>1035034.8</v>
      </c>
      <c r="AC106" s="4">
        <v>46267</v>
      </c>
      <c r="AD106" t="s">
        <v>2043</v>
      </c>
      <c r="AE106" t="s">
        <v>389</v>
      </c>
      <c r="AH106" t="s">
        <v>1614</v>
      </c>
      <c r="AI106" t="s">
        <v>1261</v>
      </c>
      <c r="AJ106" t="s">
        <v>1262</v>
      </c>
      <c r="AK106">
        <v>765244</v>
      </c>
      <c r="AL106" t="s">
        <v>1614</v>
      </c>
      <c r="AM106" t="s">
        <v>1263</v>
      </c>
      <c r="AN106" t="s">
        <v>2044</v>
      </c>
      <c r="AO106" t="s">
        <v>2045</v>
      </c>
      <c r="AP106" s="5">
        <v>46267.705555555556</v>
      </c>
      <c r="AQ106" t="s">
        <v>1266</v>
      </c>
      <c r="AR106" t="s">
        <v>1267</v>
      </c>
      <c r="AS106" t="s">
        <v>1268</v>
      </c>
      <c r="AT106" t="s">
        <v>1269</v>
      </c>
      <c r="AU106" t="s">
        <v>1270</v>
      </c>
    </row>
    <row r="107" spans="1:47" x14ac:dyDescent="0.25">
      <c r="A107" s="1" t="s">
        <v>361</v>
      </c>
      <c r="B107" s="1" t="s">
        <v>354</v>
      </c>
      <c r="C107" s="1" t="s">
        <v>354</v>
      </c>
      <c r="D107" s="1" t="s">
        <v>362</v>
      </c>
      <c r="E107" s="1" t="s">
        <v>38</v>
      </c>
      <c r="F107" s="1" t="s">
        <v>39</v>
      </c>
      <c r="G107" s="2">
        <v>-2355</v>
      </c>
      <c r="H107" s="2">
        <v>3952761.64</v>
      </c>
      <c r="I107" s="1" t="s">
        <v>40</v>
      </c>
      <c r="J107" s="1" t="s">
        <v>49</v>
      </c>
      <c r="K107" s="1" t="s">
        <v>283</v>
      </c>
      <c r="L107" s="1" t="s">
        <v>39</v>
      </c>
      <c r="M107" s="1" t="s">
        <v>363</v>
      </c>
      <c r="P107">
        <v>395390</v>
      </c>
      <c r="Q107" t="s">
        <v>1609</v>
      </c>
      <c r="R107" t="s">
        <v>1257</v>
      </c>
      <c r="S107" t="s">
        <v>1258</v>
      </c>
      <c r="T107" t="s">
        <v>1259</v>
      </c>
      <c r="U107">
        <v>2355</v>
      </c>
      <c r="V107" s="8">
        <f>G107+U107</f>
        <v>0</v>
      </c>
      <c r="W107">
        <v>0</v>
      </c>
      <c r="X107">
        <v>35</v>
      </c>
      <c r="Y107">
        <v>0</v>
      </c>
      <c r="Z107">
        <v>0</v>
      </c>
      <c r="AA107">
        <v>0</v>
      </c>
      <c r="AB107">
        <v>692132.8</v>
      </c>
      <c r="AC107" s="4">
        <v>46267</v>
      </c>
      <c r="AD107" t="s">
        <v>2071</v>
      </c>
      <c r="AE107" t="s">
        <v>361</v>
      </c>
      <c r="AH107" t="s">
        <v>1614</v>
      </c>
      <c r="AI107" t="s">
        <v>1261</v>
      </c>
      <c r="AJ107" t="s">
        <v>1262</v>
      </c>
      <c r="AK107">
        <v>765244</v>
      </c>
      <c r="AL107" t="s">
        <v>1614</v>
      </c>
      <c r="AM107" t="s">
        <v>1263</v>
      </c>
      <c r="AN107" t="s">
        <v>2072</v>
      </c>
      <c r="AO107" t="s">
        <v>2073</v>
      </c>
      <c r="AP107" s="5">
        <v>46267.715277777781</v>
      </c>
      <c r="AQ107" t="s">
        <v>1266</v>
      </c>
      <c r="AR107" t="s">
        <v>1267</v>
      </c>
      <c r="AS107" t="s">
        <v>1268</v>
      </c>
      <c r="AT107" t="s">
        <v>1269</v>
      </c>
      <c r="AU107" t="s">
        <v>1270</v>
      </c>
    </row>
    <row r="108" spans="1:47" x14ac:dyDescent="0.25">
      <c r="A108" s="1" t="s">
        <v>324</v>
      </c>
      <c r="B108" s="1" t="s">
        <v>325</v>
      </c>
      <c r="C108" s="1" t="s">
        <v>325</v>
      </c>
      <c r="D108" s="1" t="s">
        <v>326</v>
      </c>
      <c r="E108" s="1" t="s">
        <v>38</v>
      </c>
      <c r="F108" s="1" t="s">
        <v>39</v>
      </c>
      <c r="G108" s="2">
        <v>-21800</v>
      </c>
      <c r="H108" s="2">
        <v>3867523.64</v>
      </c>
      <c r="I108" s="1" t="s">
        <v>40</v>
      </c>
      <c r="J108" s="1" t="s">
        <v>49</v>
      </c>
      <c r="K108" s="1" t="s">
        <v>283</v>
      </c>
      <c r="L108" s="1" t="s">
        <v>39</v>
      </c>
      <c r="M108" s="1" t="s">
        <v>327</v>
      </c>
      <c r="P108">
        <v>395390</v>
      </c>
      <c r="Q108" t="s">
        <v>1609</v>
      </c>
      <c r="R108" t="s">
        <v>1257</v>
      </c>
      <c r="S108" t="s">
        <v>1258</v>
      </c>
      <c r="T108" t="s">
        <v>1259</v>
      </c>
      <c r="U108">
        <v>21800</v>
      </c>
      <c r="V108" s="8">
        <f>G108+U108</f>
        <v>0</v>
      </c>
      <c r="W108">
        <v>0</v>
      </c>
      <c r="X108">
        <v>87</v>
      </c>
      <c r="Y108">
        <v>0</v>
      </c>
      <c r="Z108">
        <v>0</v>
      </c>
      <c r="AA108">
        <v>0</v>
      </c>
      <c r="AB108">
        <v>212194.8</v>
      </c>
      <c r="AC108" s="4">
        <v>46267</v>
      </c>
      <c r="AD108" t="s">
        <v>2111</v>
      </c>
      <c r="AE108" t="s">
        <v>324</v>
      </c>
      <c r="AH108" t="s">
        <v>1614</v>
      </c>
      <c r="AI108" t="s">
        <v>1261</v>
      </c>
      <c r="AJ108" t="s">
        <v>1262</v>
      </c>
      <c r="AK108">
        <v>765244</v>
      </c>
      <c r="AL108" t="s">
        <v>1614</v>
      </c>
      <c r="AM108" t="s">
        <v>1263</v>
      </c>
      <c r="AN108" t="s">
        <v>2112</v>
      </c>
      <c r="AO108" t="s">
        <v>2113</v>
      </c>
      <c r="AP108" s="5">
        <v>46267.715277777781</v>
      </c>
      <c r="AQ108" t="s">
        <v>1266</v>
      </c>
      <c r="AR108" t="s">
        <v>1267</v>
      </c>
      <c r="AS108" t="s">
        <v>1268</v>
      </c>
      <c r="AT108" t="s">
        <v>1269</v>
      </c>
      <c r="AU108" t="s">
        <v>1270</v>
      </c>
    </row>
    <row r="109" spans="1:47" x14ac:dyDescent="0.25">
      <c r="A109" s="1" t="s">
        <v>309</v>
      </c>
      <c r="B109" s="1" t="s">
        <v>310</v>
      </c>
      <c r="C109" s="1" t="s">
        <v>310</v>
      </c>
      <c r="D109" s="1" t="s">
        <v>311</v>
      </c>
      <c r="E109" s="1" t="s">
        <v>38</v>
      </c>
      <c r="F109" s="1" t="s">
        <v>39</v>
      </c>
      <c r="G109" s="2">
        <v>-318</v>
      </c>
      <c r="H109" s="2">
        <v>3838868.64</v>
      </c>
      <c r="I109" s="1" t="s">
        <v>40</v>
      </c>
      <c r="J109" s="1" t="s">
        <v>49</v>
      </c>
      <c r="K109" s="1" t="s">
        <v>283</v>
      </c>
      <c r="L109" s="1" t="s">
        <v>39</v>
      </c>
      <c r="M109" s="1" t="s">
        <v>312</v>
      </c>
      <c r="P109">
        <v>395390</v>
      </c>
      <c r="Q109" t="s">
        <v>1609</v>
      </c>
      <c r="R109" t="s">
        <v>1257</v>
      </c>
      <c r="S109" t="s">
        <v>1258</v>
      </c>
      <c r="T109" t="s">
        <v>1259</v>
      </c>
      <c r="U109">
        <v>318</v>
      </c>
      <c r="V109" s="8">
        <f>G109+U109</f>
        <v>0</v>
      </c>
      <c r="W109">
        <v>0</v>
      </c>
      <c r="X109">
        <v>10</v>
      </c>
      <c r="Y109">
        <v>0</v>
      </c>
      <c r="Z109">
        <v>0</v>
      </c>
      <c r="AA109">
        <v>0</v>
      </c>
      <c r="AB109">
        <v>252339.8</v>
      </c>
      <c r="AC109" s="4">
        <v>46267</v>
      </c>
      <c r="AD109" t="s">
        <v>2108</v>
      </c>
      <c r="AE109" t="s">
        <v>309</v>
      </c>
      <c r="AH109" t="s">
        <v>1614</v>
      </c>
      <c r="AI109" t="s">
        <v>1261</v>
      </c>
      <c r="AJ109" t="s">
        <v>1262</v>
      </c>
      <c r="AK109">
        <v>765244</v>
      </c>
      <c r="AL109" t="s">
        <v>1614</v>
      </c>
      <c r="AM109" t="s">
        <v>1263</v>
      </c>
      <c r="AN109" t="s">
        <v>2109</v>
      </c>
      <c r="AO109" t="s">
        <v>2110</v>
      </c>
      <c r="AP109" s="5">
        <v>46267.715277777781</v>
      </c>
      <c r="AQ109" t="s">
        <v>1266</v>
      </c>
      <c r="AR109" t="s">
        <v>1267</v>
      </c>
      <c r="AS109" t="s">
        <v>1268</v>
      </c>
      <c r="AT109" t="s">
        <v>1269</v>
      </c>
      <c r="AU109" t="s">
        <v>1270</v>
      </c>
    </row>
    <row r="110" spans="1:47" x14ac:dyDescent="0.25">
      <c r="A110" s="1" t="s">
        <v>285</v>
      </c>
      <c r="B110" s="1" t="s">
        <v>286</v>
      </c>
      <c r="C110" s="1" t="s">
        <v>287</v>
      </c>
      <c r="D110" s="1" t="s">
        <v>288</v>
      </c>
      <c r="E110" s="1" t="s">
        <v>38</v>
      </c>
      <c r="F110" s="1" t="s">
        <v>39</v>
      </c>
      <c r="G110" s="2">
        <v>-2455</v>
      </c>
      <c r="H110" s="2">
        <v>3807825.64</v>
      </c>
      <c r="I110" s="1" t="s">
        <v>40</v>
      </c>
      <c r="J110" s="1" t="s">
        <v>49</v>
      </c>
      <c r="K110" s="1" t="s">
        <v>289</v>
      </c>
      <c r="L110" s="1" t="s">
        <v>39</v>
      </c>
      <c r="M110" s="1" t="s">
        <v>290</v>
      </c>
      <c r="P110">
        <v>395390</v>
      </c>
      <c r="Q110" t="s">
        <v>1609</v>
      </c>
      <c r="R110" t="s">
        <v>1257</v>
      </c>
      <c r="S110" t="s">
        <v>1258</v>
      </c>
      <c r="T110" t="s">
        <v>1259</v>
      </c>
      <c r="U110">
        <v>2455</v>
      </c>
      <c r="V110" s="8">
        <f>G110+U110</f>
        <v>0</v>
      </c>
      <c r="W110">
        <v>0</v>
      </c>
      <c r="X110">
        <v>35</v>
      </c>
      <c r="Y110">
        <v>0</v>
      </c>
      <c r="Z110">
        <v>0</v>
      </c>
      <c r="AA110">
        <v>0</v>
      </c>
      <c r="AB110">
        <v>402829.8</v>
      </c>
      <c r="AC110" s="4">
        <v>46267</v>
      </c>
      <c r="AD110" t="s">
        <v>2095</v>
      </c>
      <c r="AE110" t="s">
        <v>285</v>
      </c>
      <c r="AH110" t="s">
        <v>1627</v>
      </c>
      <c r="AI110" t="s">
        <v>1261</v>
      </c>
      <c r="AJ110" t="s">
        <v>1262</v>
      </c>
      <c r="AK110">
        <v>350050</v>
      </c>
      <c r="AL110" t="s">
        <v>1627</v>
      </c>
      <c r="AM110" t="s">
        <v>1263</v>
      </c>
      <c r="AN110" t="s">
        <v>2096</v>
      </c>
      <c r="AO110" t="s">
        <v>2097</v>
      </c>
      <c r="AP110" s="5">
        <v>46267.715277777781</v>
      </c>
      <c r="AQ110" t="s">
        <v>1266</v>
      </c>
      <c r="AR110" t="s">
        <v>1267</v>
      </c>
      <c r="AS110" t="s">
        <v>1268</v>
      </c>
      <c r="AT110" t="s">
        <v>1269</v>
      </c>
      <c r="AU110" t="s">
        <v>1270</v>
      </c>
    </row>
    <row r="111" spans="1:47" x14ac:dyDescent="0.25">
      <c r="A111" s="1" t="s">
        <v>858</v>
      </c>
      <c r="B111" s="1" t="s">
        <v>859</v>
      </c>
      <c r="C111" s="1" t="s">
        <v>860</v>
      </c>
      <c r="D111" s="1" t="s">
        <v>861</v>
      </c>
      <c r="E111" s="1" t="s">
        <v>38</v>
      </c>
      <c r="F111" s="1" t="s">
        <v>39</v>
      </c>
      <c r="G111" s="2">
        <v>-6483</v>
      </c>
      <c r="H111" s="2">
        <v>5392284.6399999997</v>
      </c>
      <c r="I111" s="1" t="s">
        <v>40</v>
      </c>
      <c r="J111" s="1" t="s">
        <v>49</v>
      </c>
      <c r="K111" s="1" t="s">
        <v>279</v>
      </c>
      <c r="L111" s="1" t="s">
        <v>39</v>
      </c>
      <c r="M111" s="1" t="s">
        <v>862</v>
      </c>
      <c r="P111">
        <v>395390</v>
      </c>
      <c r="Q111" t="s">
        <v>1609</v>
      </c>
      <c r="R111" t="s">
        <v>1257</v>
      </c>
      <c r="S111" t="s">
        <v>1258</v>
      </c>
      <c r="T111" t="s">
        <v>1259</v>
      </c>
      <c r="U111">
        <v>6483</v>
      </c>
      <c r="V111" s="8">
        <f>G111+U111</f>
        <v>0</v>
      </c>
      <c r="W111">
        <v>0</v>
      </c>
      <c r="X111">
        <v>57</v>
      </c>
      <c r="Y111">
        <v>0</v>
      </c>
      <c r="Z111">
        <v>0</v>
      </c>
      <c r="AA111">
        <v>0</v>
      </c>
      <c r="AB111">
        <v>4427902</v>
      </c>
      <c r="AC111" s="4">
        <v>46267</v>
      </c>
      <c r="AD111" t="s">
        <v>1610</v>
      </c>
      <c r="AE111" t="s">
        <v>858</v>
      </c>
      <c r="AH111" t="s">
        <v>1564</v>
      </c>
      <c r="AI111" t="s">
        <v>1261</v>
      </c>
      <c r="AJ111" t="s">
        <v>1262</v>
      </c>
      <c r="AK111">
        <v>852648</v>
      </c>
      <c r="AL111" t="s">
        <v>1564</v>
      </c>
      <c r="AM111" t="s">
        <v>1263</v>
      </c>
      <c r="AN111" t="s">
        <v>1611</v>
      </c>
      <c r="AO111" t="s">
        <v>1612</v>
      </c>
      <c r="AP111" s="5">
        <v>46267.684027777781</v>
      </c>
      <c r="AQ111" t="s">
        <v>1266</v>
      </c>
      <c r="AR111" t="s">
        <v>1267</v>
      </c>
      <c r="AS111" t="s">
        <v>1268</v>
      </c>
      <c r="AT111" t="s">
        <v>1269</v>
      </c>
      <c r="AU111" t="s">
        <v>1270</v>
      </c>
    </row>
    <row r="112" spans="1:47" x14ac:dyDescent="0.25">
      <c r="A112" s="1" t="s">
        <v>836</v>
      </c>
      <c r="B112" s="1" t="s">
        <v>837</v>
      </c>
      <c r="C112" s="1" t="s">
        <v>833</v>
      </c>
      <c r="D112" s="1" t="s">
        <v>838</v>
      </c>
      <c r="E112" s="1" t="s">
        <v>38</v>
      </c>
      <c r="F112" s="1" t="s">
        <v>39</v>
      </c>
      <c r="G112" s="2">
        <v>-6870</v>
      </c>
      <c r="H112" s="2">
        <v>5345902.6399999997</v>
      </c>
      <c r="I112" s="1" t="s">
        <v>40</v>
      </c>
      <c r="J112" s="1" t="s">
        <v>49</v>
      </c>
      <c r="K112" s="1" t="s">
        <v>289</v>
      </c>
      <c r="L112" s="1" t="s">
        <v>39</v>
      </c>
      <c r="M112" s="1" t="s">
        <v>839</v>
      </c>
      <c r="P112">
        <v>395390</v>
      </c>
      <c r="Q112" t="s">
        <v>1609</v>
      </c>
      <c r="R112" t="s">
        <v>1257</v>
      </c>
      <c r="S112" t="s">
        <v>1258</v>
      </c>
      <c r="T112" t="s">
        <v>1259</v>
      </c>
      <c r="U112">
        <v>6870</v>
      </c>
      <c r="V112" s="8">
        <f>G112+U112</f>
        <v>0</v>
      </c>
      <c r="W112">
        <v>0</v>
      </c>
      <c r="X112">
        <v>57</v>
      </c>
      <c r="Y112">
        <v>0</v>
      </c>
      <c r="Z112">
        <v>0</v>
      </c>
      <c r="AA112">
        <v>0</v>
      </c>
      <c r="AB112">
        <v>4274796</v>
      </c>
      <c r="AC112" s="4">
        <v>46267</v>
      </c>
      <c r="AD112" t="s">
        <v>1626</v>
      </c>
      <c r="AE112" t="s">
        <v>836</v>
      </c>
      <c r="AH112" t="s">
        <v>1627</v>
      </c>
      <c r="AI112" t="s">
        <v>1261</v>
      </c>
      <c r="AJ112" t="s">
        <v>1262</v>
      </c>
      <c r="AK112">
        <v>350050</v>
      </c>
      <c r="AL112" t="s">
        <v>1627</v>
      </c>
      <c r="AM112" t="s">
        <v>1263</v>
      </c>
      <c r="AN112" t="s">
        <v>1628</v>
      </c>
      <c r="AO112" t="s">
        <v>1629</v>
      </c>
      <c r="AP112" s="5">
        <v>46267.684027777781</v>
      </c>
      <c r="AQ112" t="s">
        <v>1266</v>
      </c>
      <c r="AR112" t="s">
        <v>1267</v>
      </c>
      <c r="AS112" t="s">
        <v>1268</v>
      </c>
      <c r="AT112" t="s">
        <v>1269</v>
      </c>
      <c r="AU112" t="s">
        <v>1270</v>
      </c>
    </row>
    <row r="113" spans="1:47" x14ac:dyDescent="0.25">
      <c r="A113" s="1" t="s">
        <v>829</v>
      </c>
      <c r="B113" s="1" t="s">
        <v>822</v>
      </c>
      <c r="C113" s="1" t="s">
        <v>822</v>
      </c>
      <c r="D113" s="1" t="s">
        <v>830</v>
      </c>
      <c r="E113" s="1" t="s">
        <v>38</v>
      </c>
      <c r="F113" s="1" t="s">
        <v>39</v>
      </c>
      <c r="G113" s="2">
        <v>-2527</v>
      </c>
      <c r="H113" s="2">
        <v>5338947.6399999997</v>
      </c>
      <c r="I113" s="1" t="s">
        <v>40</v>
      </c>
      <c r="J113" s="1" t="s">
        <v>49</v>
      </c>
      <c r="K113" s="1" t="s">
        <v>283</v>
      </c>
      <c r="L113" s="1" t="s">
        <v>39</v>
      </c>
      <c r="M113" s="1" t="s">
        <v>831</v>
      </c>
      <c r="P113">
        <v>395390</v>
      </c>
      <c r="Q113" t="s">
        <v>1609</v>
      </c>
      <c r="R113" t="s">
        <v>1257</v>
      </c>
      <c r="S113" t="s">
        <v>1258</v>
      </c>
      <c r="T113" t="s">
        <v>1259</v>
      </c>
      <c r="U113">
        <v>2527</v>
      </c>
      <c r="V113" s="8">
        <f>G113+U113</f>
        <v>0</v>
      </c>
      <c r="W113">
        <v>0</v>
      </c>
      <c r="X113">
        <v>40</v>
      </c>
      <c r="Y113">
        <v>0</v>
      </c>
      <c r="Z113">
        <v>0</v>
      </c>
      <c r="AA113">
        <v>0</v>
      </c>
      <c r="AB113">
        <v>4264024</v>
      </c>
      <c r="AC113" s="4">
        <v>46267</v>
      </c>
      <c r="AD113" t="s">
        <v>1630</v>
      </c>
      <c r="AE113" t="s">
        <v>829</v>
      </c>
      <c r="AH113" t="s">
        <v>1614</v>
      </c>
      <c r="AI113" t="s">
        <v>1261</v>
      </c>
      <c r="AJ113" t="s">
        <v>1262</v>
      </c>
      <c r="AK113">
        <v>765244</v>
      </c>
      <c r="AL113" t="s">
        <v>1614</v>
      </c>
      <c r="AM113" t="s">
        <v>1263</v>
      </c>
      <c r="AN113" t="s">
        <v>1631</v>
      </c>
      <c r="AO113" t="s">
        <v>1632</v>
      </c>
      <c r="AP113" s="5">
        <v>46267.684027777781</v>
      </c>
      <c r="AQ113" t="s">
        <v>1266</v>
      </c>
      <c r="AR113" t="s">
        <v>1267</v>
      </c>
      <c r="AS113" t="s">
        <v>1268</v>
      </c>
      <c r="AT113" t="s">
        <v>1269</v>
      </c>
      <c r="AU113" t="s">
        <v>1270</v>
      </c>
    </row>
    <row r="114" spans="1:47" x14ac:dyDescent="0.25">
      <c r="A114" s="1" t="s">
        <v>760</v>
      </c>
      <c r="B114" s="1" t="s">
        <v>761</v>
      </c>
      <c r="C114" s="1" t="s">
        <v>762</v>
      </c>
      <c r="D114" s="1" t="s">
        <v>681</v>
      </c>
      <c r="E114" s="1" t="s">
        <v>38</v>
      </c>
      <c r="F114" s="1" t="s">
        <v>39</v>
      </c>
      <c r="G114" s="2">
        <v>-272</v>
      </c>
      <c r="H114" s="2">
        <v>5244588.6399999997</v>
      </c>
      <c r="I114" s="1" t="s">
        <v>40</v>
      </c>
      <c r="J114" s="1" t="s">
        <v>49</v>
      </c>
      <c r="K114" s="1" t="s">
        <v>289</v>
      </c>
      <c r="L114" s="1" t="s">
        <v>39</v>
      </c>
      <c r="M114" s="1" t="s">
        <v>682</v>
      </c>
      <c r="P114">
        <v>395390</v>
      </c>
      <c r="Q114" t="s">
        <v>1609</v>
      </c>
      <c r="R114" t="s">
        <v>1257</v>
      </c>
      <c r="S114" t="s">
        <v>1258</v>
      </c>
      <c r="T114" t="s">
        <v>1259</v>
      </c>
      <c r="U114">
        <v>272</v>
      </c>
      <c r="V114" s="8">
        <f>G114+U114</f>
        <v>0</v>
      </c>
      <c r="W114">
        <v>0</v>
      </c>
      <c r="X114">
        <v>10</v>
      </c>
      <c r="Y114">
        <v>0</v>
      </c>
      <c r="Z114">
        <v>0</v>
      </c>
      <c r="AA114">
        <v>0</v>
      </c>
      <c r="AB114">
        <v>3671380.8</v>
      </c>
      <c r="AC114" s="4">
        <v>46267</v>
      </c>
      <c r="AD114" t="s">
        <v>1702</v>
      </c>
      <c r="AE114" t="s">
        <v>760</v>
      </c>
      <c r="AH114" t="s">
        <v>1627</v>
      </c>
      <c r="AI114" t="s">
        <v>1261</v>
      </c>
      <c r="AJ114" t="s">
        <v>1262</v>
      </c>
      <c r="AK114">
        <v>350050</v>
      </c>
      <c r="AL114" t="s">
        <v>1627</v>
      </c>
      <c r="AM114" t="s">
        <v>1263</v>
      </c>
      <c r="AN114" t="s">
        <v>1703</v>
      </c>
      <c r="AO114" t="s">
        <v>1704</v>
      </c>
      <c r="AP114" s="5">
        <v>46267.684027777781</v>
      </c>
      <c r="AQ114" t="s">
        <v>1266</v>
      </c>
      <c r="AR114" t="s">
        <v>1267</v>
      </c>
      <c r="AS114" t="s">
        <v>1268</v>
      </c>
      <c r="AT114" t="s">
        <v>1269</v>
      </c>
      <c r="AU114" t="s">
        <v>1270</v>
      </c>
    </row>
    <row r="115" spans="1:47" x14ac:dyDescent="0.25">
      <c r="A115" s="1" t="s">
        <v>757</v>
      </c>
      <c r="B115" s="1" t="s">
        <v>758</v>
      </c>
      <c r="C115" s="1" t="s">
        <v>759</v>
      </c>
      <c r="D115" s="1" t="s">
        <v>652</v>
      </c>
      <c r="E115" s="1" t="s">
        <v>38</v>
      </c>
      <c r="F115" s="1" t="s">
        <v>39</v>
      </c>
      <c r="G115" s="2">
        <v>-410</v>
      </c>
      <c r="H115" s="2">
        <v>5244170.6399999997</v>
      </c>
      <c r="I115" s="1" t="s">
        <v>40</v>
      </c>
      <c r="J115" s="1" t="s">
        <v>49</v>
      </c>
      <c r="K115" s="1" t="s">
        <v>279</v>
      </c>
      <c r="L115" s="1" t="s">
        <v>39</v>
      </c>
      <c r="M115" s="1" t="s">
        <v>653</v>
      </c>
      <c r="P115">
        <v>395390</v>
      </c>
      <c r="Q115" t="s">
        <v>1609</v>
      </c>
      <c r="R115" t="s">
        <v>1257</v>
      </c>
      <c r="S115" t="s">
        <v>1258</v>
      </c>
      <c r="T115" t="s">
        <v>1259</v>
      </c>
      <c r="U115">
        <v>410</v>
      </c>
      <c r="V115" s="8">
        <f>G115+U115</f>
        <v>0</v>
      </c>
      <c r="W115">
        <v>0</v>
      </c>
      <c r="X115">
        <v>10</v>
      </c>
      <c r="Y115">
        <v>0</v>
      </c>
      <c r="Z115">
        <v>0</v>
      </c>
      <c r="AA115">
        <v>0</v>
      </c>
      <c r="AB115">
        <v>3653014.8</v>
      </c>
      <c r="AC115" s="4">
        <v>46267</v>
      </c>
      <c r="AD115" t="s">
        <v>1708</v>
      </c>
      <c r="AE115" t="s">
        <v>757</v>
      </c>
      <c r="AH115" t="s">
        <v>1564</v>
      </c>
      <c r="AI115" t="s">
        <v>1261</v>
      </c>
      <c r="AJ115" t="s">
        <v>1262</v>
      </c>
      <c r="AK115">
        <v>852648</v>
      </c>
      <c r="AL115" t="s">
        <v>1564</v>
      </c>
      <c r="AM115" t="s">
        <v>1263</v>
      </c>
      <c r="AN115" t="s">
        <v>1709</v>
      </c>
      <c r="AO115" t="s">
        <v>1710</v>
      </c>
      <c r="AP115" s="5">
        <v>46267.68472222222</v>
      </c>
      <c r="AQ115" t="s">
        <v>1266</v>
      </c>
      <c r="AR115" t="s">
        <v>1267</v>
      </c>
      <c r="AS115" t="s">
        <v>1268</v>
      </c>
      <c r="AT115" t="s">
        <v>1269</v>
      </c>
      <c r="AU115" t="s">
        <v>1270</v>
      </c>
    </row>
    <row r="116" spans="1:47" x14ac:dyDescent="0.25">
      <c r="A116" s="1" t="s">
        <v>744</v>
      </c>
      <c r="B116" s="1" t="s">
        <v>745</v>
      </c>
      <c r="C116" s="1" t="s">
        <v>745</v>
      </c>
      <c r="D116" s="1" t="s">
        <v>746</v>
      </c>
      <c r="E116" s="1" t="s">
        <v>38</v>
      </c>
      <c r="F116" s="1" t="s">
        <v>39</v>
      </c>
      <c r="G116" s="2">
        <v>-2750</v>
      </c>
      <c r="H116" s="2">
        <v>5231096.6399999997</v>
      </c>
      <c r="I116" s="1" t="s">
        <v>40</v>
      </c>
      <c r="J116" s="1" t="s">
        <v>49</v>
      </c>
      <c r="K116" s="1" t="s">
        <v>228</v>
      </c>
      <c r="L116" s="1" t="s">
        <v>39</v>
      </c>
      <c r="M116" s="1" t="s">
        <v>747</v>
      </c>
      <c r="P116">
        <v>276585</v>
      </c>
      <c r="Q116" t="s">
        <v>1362</v>
      </c>
      <c r="R116" t="s">
        <v>1257</v>
      </c>
      <c r="S116" t="s">
        <v>1258</v>
      </c>
      <c r="T116" t="s">
        <v>1259</v>
      </c>
      <c r="U116">
        <v>2750</v>
      </c>
      <c r="V116" s="8">
        <f>G116+U116</f>
        <v>0</v>
      </c>
      <c r="W116">
        <v>0</v>
      </c>
      <c r="X116">
        <v>40</v>
      </c>
      <c r="Y116">
        <v>0</v>
      </c>
      <c r="Z116">
        <v>1</v>
      </c>
      <c r="AA116">
        <v>0</v>
      </c>
      <c r="AB116">
        <v>2292.36</v>
      </c>
      <c r="AC116" s="4">
        <v>46267</v>
      </c>
      <c r="AD116" t="s">
        <v>1718</v>
      </c>
      <c r="AE116" t="s">
        <v>744</v>
      </c>
      <c r="AH116" t="s">
        <v>1719</v>
      </c>
      <c r="AI116" t="s">
        <v>1261</v>
      </c>
      <c r="AJ116" t="s">
        <v>1262</v>
      </c>
      <c r="AK116">
        <v>542542</v>
      </c>
      <c r="AL116" t="s">
        <v>1719</v>
      </c>
      <c r="AM116" t="s">
        <v>1263</v>
      </c>
      <c r="AN116" t="s">
        <v>1720</v>
      </c>
      <c r="AO116">
        <v>671288</v>
      </c>
      <c r="AP116" s="5">
        <v>46267.69027777778</v>
      </c>
      <c r="AQ116" t="s">
        <v>1266</v>
      </c>
      <c r="AS116" t="s">
        <v>1268</v>
      </c>
      <c r="AT116" t="s">
        <v>1269</v>
      </c>
      <c r="AU116" t="s">
        <v>1270</v>
      </c>
    </row>
    <row r="117" spans="1:47" x14ac:dyDescent="0.25">
      <c r="A117" s="1" t="s">
        <v>644</v>
      </c>
      <c r="B117" s="1" t="s">
        <v>645</v>
      </c>
      <c r="C117" s="1" t="s">
        <v>646</v>
      </c>
      <c r="D117" s="1" t="s">
        <v>278</v>
      </c>
      <c r="E117" s="1" t="s">
        <v>38</v>
      </c>
      <c r="F117" s="1" t="s">
        <v>39</v>
      </c>
      <c r="G117" s="2">
        <v>-25239</v>
      </c>
      <c r="H117" s="2">
        <v>4949371.6399999997</v>
      </c>
      <c r="I117" s="1" t="s">
        <v>40</v>
      </c>
      <c r="J117" s="1" t="s">
        <v>49</v>
      </c>
      <c r="K117" s="1" t="s">
        <v>279</v>
      </c>
      <c r="L117" s="1" t="s">
        <v>39</v>
      </c>
      <c r="M117" s="1" t="s">
        <v>280</v>
      </c>
      <c r="P117">
        <v>395390</v>
      </c>
      <c r="Q117" t="s">
        <v>1609</v>
      </c>
      <c r="R117" t="s">
        <v>1257</v>
      </c>
      <c r="S117" t="s">
        <v>1258</v>
      </c>
      <c r="T117" t="s">
        <v>1259</v>
      </c>
      <c r="U117">
        <v>25239</v>
      </c>
      <c r="V117" s="8">
        <f>G117+U117</f>
        <v>0</v>
      </c>
      <c r="W117">
        <v>0</v>
      </c>
      <c r="X117">
        <v>92</v>
      </c>
      <c r="Y117">
        <v>0</v>
      </c>
      <c r="Z117">
        <v>0</v>
      </c>
      <c r="AA117">
        <v>0</v>
      </c>
      <c r="AB117">
        <v>3240196.8</v>
      </c>
      <c r="AC117" s="4">
        <v>46267</v>
      </c>
      <c r="AD117" t="s">
        <v>1772</v>
      </c>
      <c r="AE117" t="s">
        <v>644</v>
      </c>
      <c r="AH117" t="s">
        <v>1564</v>
      </c>
      <c r="AI117" t="s">
        <v>1261</v>
      </c>
      <c r="AJ117" t="s">
        <v>1262</v>
      </c>
      <c r="AK117">
        <v>852648</v>
      </c>
      <c r="AL117" t="s">
        <v>1564</v>
      </c>
      <c r="AM117" t="s">
        <v>1263</v>
      </c>
      <c r="AN117" t="s">
        <v>1773</v>
      </c>
      <c r="AO117" t="s">
        <v>1774</v>
      </c>
      <c r="AP117" s="5">
        <v>46267.692361111112</v>
      </c>
      <c r="AQ117" t="s">
        <v>1266</v>
      </c>
      <c r="AR117" t="s">
        <v>1267</v>
      </c>
      <c r="AS117" t="s">
        <v>1268</v>
      </c>
      <c r="AT117" t="s">
        <v>1269</v>
      </c>
      <c r="AU117" t="s">
        <v>1270</v>
      </c>
    </row>
    <row r="118" spans="1:47" x14ac:dyDescent="0.25">
      <c r="A118" s="1" t="s">
        <v>595</v>
      </c>
      <c r="B118" s="1" t="s">
        <v>578</v>
      </c>
      <c r="C118" s="1" t="s">
        <v>596</v>
      </c>
      <c r="D118" s="1" t="s">
        <v>597</v>
      </c>
      <c r="E118" s="1" t="s">
        <v>38</v>
      </c>
      <c r="F118" s="1" t="s">
        <v>39</v>
      </c>
      <c r="G118" s="2">
        <v>-22690</v>
      </c>
      <c r="H118" s="2">
        <v>4805382.6399999997</v>
      </c>
      <c r="I118" s="1" t="s">
        <v>40</v>
      </c>
      <c r="J118" s="1" t="s">
        <v>49</v>
      </c>
      <c r="K118" s="1" t="s">
        <v>279</v>
      </c>
      <c r="L118" s="1" t="s">
        <v>39</v>
      </c>
      <c r="M118" s="1" t="s">
        <v>598</v>
      </c>
      <c r="P118">
        <v>395390</v>
      </c>
      <c r="Q118" t="s">
        <v>1609</v>
      </c>
      <c r="R118" t="s">
        <v>1257</v>
      </c>
      <c r="S118" t="s">
        <v>1258</v>
      </c>
      <c r="T118" t="s">
        <v>1259</v>
      </c>
      <c r="U118">
        <v>22690</v>
      </c>
      <c r="V118" s="8">
        <f>G118+U118</f>
        <v>0</v>
      </c>
      <c r="W118">
        <v>0</v>
      </c>
      <c r="X118">
        <v>87</v>
      </c>
      <c r="Y118">
        <v>0</v>
      </c>
      <c r="Z118">
        <v>0</v>
      </c>
      <c r="AA118">
        <v>0</v>
      </c>
      <c r="AB118">
        <v>2790685.8</v>
      </c>
      <c r="AC118" s="4">
        <v>46267</v>
      </c>
      <c r="AD118" t="s">
        <v>1844</v>
      </c>
      <c r="AE118" t="s">
        <v>595</v>
      </c>
      <c r="AH118" t="s">
        <v>1564</v>
      </c>
      <c r="AI118" t="s">
        <v>1261</v>
      </c>
      <c r="AJ118" t="s">
        <v>1262</v>
      </c>
      <c r="AK118">
        <v>852648</v>
      </c>
      <c r="AL118" t="s">
        <v>1564</v>
      </c>
      <c r="AM118" t="s">
        <v>1263</v>
      </c>
      <c r="AN118" t="s">
        <v>1845</v>
      </c>
      <c r="AO118" t="s">
        <v>1846</v>
      </c>
      <c r="AP118" s="5">
        <v>46267.692361111112</v>
      </c>
      <c r="AQ118" t="s">
        <v>1266</v>
      </c>
      <c r="AR118" t="s">
        <v>1267</v>
      </c>
      <c r="AS118" t="s">
        <v>1268</v>
      </c>
      <c r="AT118" t="s">
        <v>1269</v>
      </c>
      <c r="AU118" t="s">
        <v>1270</v>
      </c>
    </row>
    <row r="119" spans="1:47" x14ac:dyDescent="0.25">
      <c r="A119" s="1" t="s">
        <v>603</v>
      </c>
      <c r="B119" s="1" t="s">
        <v>578</v>
      </c>
      <c r="C119" s="1" t="s">
        <v>600</v>
      </c>
      <c r="D119" s="1" t="s">
        <v>604</v>
      </c>
      <c r="E119" s="1" t="s">
        <v>38</v>
      </c>
      <c r="F119" s="1" t="s">
        <v>39</v>
      </c>
      <c r="G119" s="2">
        <v>-8096</v>
      </c>
      <c r="H119" s="2">
        <v>4835857.6399999997</v>
      </c>
      <c r="I119" s="1" t="s">
        <v>40</v>
      </c>
      <c r="J119" s="1" t="s">
        <v>49</v>
      </c>
      <c r="K119" s="1" t="s">
        <v>283</v>
      </c>
      <c r="L119" s="1" t="s">
        <v>39</v>
      </c>
      <c r="M119" s="1" t="s">
        <v>605</v>
      </c>
      <c r="P119">
        <v>395390</v>
      </c>
      <c r="Q119" t="s">
        <v>1609</v>
      </c>
      <c r="R119" t="s">
        <v>1257</v>
      </c>
      <c r="S119" t="s">
        <v>1258</v>
      </c>
      <c r="T119" t="s">
        <v>1259</v>
      </c>
      <c r="U119">
        <v>8096</v>
      </c>
      <c r="V119" s="8">
        <f>G119+U119</f>
        <v>0</v>
      </c>
      <c r="W119">
        <v>0</v>
      </c>
      <c r="X119">
        <v>63</v>
      </c>
      <c r="Y119">
        <v>0</v>
      </c>
      <c r="Z119">
        <v>0</v>
      </c>
      <c r="AA119">
        <v>0</v>
      </c>
      <c r="AB119">
        <v>2739741.8</v>
      </c>
      <c r="AC119" s="4">
        <v>46267</v>
      </c>
      <c r="AD119" t="s">
        <v>1853</v>
      </c>
      <c r="AE119" t="s">
        <v>603</v>
      </c>
      <c r="AH119" t="s">
        <v>1614</v>
      </c>
      <c r="AI119" t="s">
        <v>1261</v>
      </c>
      <c r="AJ119" t="s">
        <v>1262</v>
      </c>
      <c r="AK119">
        <v>765244</v>
      </c>
      <c r="AL119" t="s">
        <v>1614</v>
      </c>
      <c r="AM119" t="s">
        <v>1263</v>
      </c>
      <c r="AN119" t="s">
        <v>1854</v>
      </c>
      <c r="AO119" t="s">
        <v>1855</v>
      </c>
      <c r="AP119" s="5">
        <v>46267.692361111112</v>
      </c>
      <c r="AQ119" t="s">
        <v>1266</v>
      </c>
      <c r="AR119" t="s">
        <v>1267</v>
      </c>
      <c r="AS119" t="s">
        <v>1268</v>
      </c>
      <c r="AT119" t="s">
        <v>1269</v>
      </c>
      <c r="AU119" t="s">
        <v>1270</v>
      </c>
    </row>
    <row r="120" spans="1:47" x14ac:dyDescent="0.25">
      <c r="A120" s="1" t="s">
        <v>577</v>
      </c>
      <c r="B120" s="1" t="s">
        <v>556</v>
      </c>
      <c r="C120" s="1" t="s">
        <v>578</v>
      </c>
      <c r="D120" s="1" t="s">
        <v>579</v>
      </c>
      <c r="E120" s="1" t="s">
        <v>38</v>
      </c>
      <c r="F120" s="1" t="s">
        <v>39</v>
      </c>
      <c r="G120" s="2">
        <v>-1186</v>
      </c>
      <c r="H120" s="2">
        <v>4757333.6399999997</v>
      </c>
      <c r="I120" s="1" t="s">
        <v>40</v>
      </c>
      <c r="J120" s="1" t="s">
        <v>49</v>
      </c>
      <c r="K120" s="1" t="s">
        <v>279</v>
      </c>
      <c r="L120" s="1" t="s">
        <v>39</v>
      </c>
      <c r="M120" s="1" t="s">
        <v>580</v>
      </c>
      <c r="P120">
        <v>395390</v>
      </c>
      <c r="Q120" t="s">
        <v>1609</v>
      </c>
      <c r="R120" t="s">
        <v>1257</v>
      </c>
      <c r="S120" t="s">
        <v>1258</v>
      </c>
      <c r="T120" t="s">
        <v>1259</v>
      </c>
      <c r="U120">
        <v>1186</v>
      </c>
      <c r="V120" s="8">
        <f>G120+U120</f>
        <v>0</v>
      </c>
      <c r="W120">
        <v>0</v>
      </c>
      <c r="X120">
        <v>25</v>
      </c>
      <c r="Y120">
        <v>0</v>
      </c>
      <c r="Z120">
        <v>0</v>
      </c>
      <c r="AA120">
        <v>0</v>
      </c>
      <c r="AB120">
        <v>2738530.8</v>
      </c>
      <c r="AC120" s="4">
        <v>46267</v>
      </c>
      <c r="AD120" t="s">
        <v>1856</v>
      </c>
      <c r="AE120" t="s">
        <v>577</v>
      </c>
      <c r="AH120" t="s">
        <v>1564</v>
      </c>
      <c r="AI120" t="s">
        <v>1261</v>
      </c>
      <c r="AJ120" t="s">
        <v>1262</v>
      </c>
      <c r="AK120">
        <v>852648</v>
      </c>
      <c r="AL120" t="s">
        <v>1564</v>
      </c>
      <c r="AM120" t="s">
        <v>1263</v>
      </c>
      <c r="AN120" t="s">
        <v>1857</v>
      </c>
      <c r="AO120" t="s">
        <v>1858</v>
      </c>
      <c r="AP120" s="5">
        <v>46267.692361111112</v>
      </c>
      <c r="AQ120" t="s">
        <v>1266</v>
      </c>
      <c r="AR120" t="s">
        <v>1267</v>
      </c>
      <c r="AS120" t="s">
        <v>1268</v>
      </c>
      <c r="AT120" t="s">
        <v>1269</v>
      </c>
      <c r="AU120" t="s">
        <v>1270</v>
      </c>
    </row>
    <row r="121" spans="1:47" x14ac:dyDescent="0.25">
      <c r="A121" s="1" t="s">
        <v>584</v>
      </c>
      <c r="B121" s="1" t="s">
        <v>556</v>
      </c>
      <c r="C121" s="1" t="s">
        <v>530</v>
      </c>
      <c r="D121" s="1" t="s">
        <v>585</v>
      </c>
      <c r="E121" s="1" t="s">
        <v>38</v>
      </c>
      <c r="F121" s="1" t="s">
        <v>39</v>
      </c>
      <c r="G121" s="2">
        <v>-15544</v>
      </c>
      <c r="H121" s="2">
        <v>4764026.6399999997</v>
      </c>
      <c r="I121" s="1" t="s">
        <v>40</v>
      </c>
      <c r="J121" s="1" t="s">
        <v>49</v>
      </c>
      <c r="K121" s="1" t="s">
        <v>283</v>
      </c>
      <c r="L121" s="1" t="s">
        <v>39</v>
      </c>
      <c r="M121" s="1" t="s">
        <v>586</v>
      </c>
      <c r="P121">
        <v>395390</v>
      </c>
      <c r="Q121" t="s">
        <v>1609</v>
      </c>
      <c r="R121" t="s">
        <v>1257</v>
      </c>
      <c r="S121" t="s">
        <v>1258</v>
      </c>
      <c r="T121" t="s">
        <v>1259</v>
      </c>
      <c r="U121">
        <v>15544</v>
      </c>
      <c r="V121" s="8">
        <f>G121+U121</f>
        <v>0</v>
      </c>
      <c r="W121">
        <v>0</v>
      </c>
      <c r="X121">
        <v>82</v>
      </c>
      <c r="Y121">
        <v>0</v>
      </c>
      <c r="Z121">
        <v>0</v>
      </c>
      <c r="AA121">
        <v>0</v>
      </c>
      <c r="AB121">
        <v>2663813.7999999998</v>
      </c>
      <c r="AC121" s="4">
        <v>46267</v>
      </c>
      <c r="AD121" t="s">
        <v>1871</v>
      </c>
      <c r="AE121" t="s">
        <v>584</v>
      </c>
      <c r="AH121" t="s">
        <v>1614</v>
      </c>
      <c r="AI121" t="s">
        <v>1261</v>
      </c>
      <c r="AJ121" t="s">
        <v>1262</v>
      </c>
      <c r="AK121">
        <v>765244</v>
      </c>
      <c r="AL121" t="s">
        <v>1614</v>
      </c>
      <c r="AM121" t="s">
        <v>1263</v>
      </c>
      <c r="AN121" t="s">
        <v>1872</v>
      </c>
      <c r="AO121" t="s">
        <v>1873</v>
      </c>
      <c r="AP121" s="5">
        <v>46267.692361111112</v>
      </c>
      <c r="AQ121" t="s">
        <v>1266</v>
      </c>
      <c r="AR121" t="s">
        <v>1267</v>
      </c>
      <c r="AS121" t="s">
        <v>1268</v>
      </c>
      <c r="AT121" t="s">
        <v>1269</v>
      </c>
      <c r="AU121" t="s">
        <v>1270</v>
      </c>
    </row>
    <row r="122" spans="1:47" x14ac:dyDescent="0.25">
      <c r="A122" s="1" t="s">
        <v>559</v>
      </c>
      <c r="B122" s="1" t="s">
        <v>556</v>
      </c>
      <c r="C122" s="1" t="s">
        <v>556</v>
      </c>
      <c r="D122" s="1" t="s">
        <v>560</v>
      </c>
      <c r="E122" s="1" t="s">
        <v>38</v>
      </c>
      <c r="F122" s="1" t="s">
        <v>39</v>
      </c>
      <c r="G122" s="2">
        <v>-3400</v>
      </c>
      <c r="H122" s="2">
        <v>4716635.6399999997</v>
      </c>
      <c r="I122" s="1" t="s">
        <v>40</v>
      </c>
      <c r="J122" s="1" t="s">
        <v>49</v>
      </c>
      <c r="K122" s="1" t="s">
        <v>283</v>
      </c>
      <c r="L122" s="1" t="s">
        <v>39</v>
      </c>
      <c r="M122" s="1" t="s">
        <v>561</v>
      </c>
      <c r="P122">
        <v>395390</v>
      </c>
      <c r="Q122" t="s">
        <v>1609</v>
      </c>
      <c r="R122" t="s">
        <v>1257</v>
      </c>
      <c r="S122" t="s">
        <v>1258</v>
      </c>
      <c r="T122" t="s">
        <v>1259</v>
      </c>
      <c r="U122">
        <v>3400</v>
      </c>
      <c r="V122" s="8">
        <f>G122+U122</f>
        <v>0</v>
      </c>
      <c r="W122">
        <v>0</v>
      </c>
      <c r="X122">
        <v>40</v>
      </c>
      <c r="Y122">
        <v>0</v>
      </c>
      <c r="Z122">
        <v>0</v>
      </c>
      <c r="AA122">
        <v>0</v>
      </c>
      <c r="AB122">
        <v>2505239.7999999998</v>
      </c>
      <c r="AC122" s="4">
        <v>46267</v>
      </c>
      <c r="AD122" t="s">
        <v>1905</v>
      </c>
      <c r="AE122" t="s">
        <v>559</v>
      </c>
      <c r="AH122" t="s">
        <v>1614</v>
      </c>
      <c r="AI122" t="s">
        <v>1261</v>
      </c>
      <c r="AJ122" t="s">
        <v>1262</v>
      </c>
      <c r="AK122">
        <v>765244</v>
      </c>
      <c r="AL122" t="s">
        <v>1614</v>
      </c>
      <c r="AM122" t="s">
        <v>1263</v>
      </c>
      <c r="AN122" t="s">
        <v>1906</v>
      </c>
      <c r="AO122" t="s">
        <v>1907</v>
      </c>
      <c r="AP122" s="5">
        <v>46267.692361111112</v>
      </c>
      <c r="AQ122" t="s">
        <v>1266</v>
      </c>
      <c r="AR122" t="s">
        <v>1267</v>
      </c>
      <c r="AS122" t="s">
        <v>1268</v>
      </c>
      <c r="AT122" t="s">
        <v>1269</v>
      </c>
      <c r="AU122" t="s">
        <v>1270</v>
      </c>
    </row>
    <row r="123" spans="1:47" x14ac:dyDescent="0.25">
      <c r="A123" s="1" t="s">
        <v>555</v>
      </c>
      <c r="B123" s="1" t="s">
        <v>515</v>
      </c>
      <c r="C123" s="1" t="s">
        <v>556</v>
      </c>
      <c r="D123" s="1" t="s">
        <v>557</v>
      </c>
      <c r="E123" s="1" t="s">
        <v>38</v>
      </c>
      <c r="F123" s="1" t="s">
        <v>39</v>
      </c>
      <c r="G123" s="2">
        <v>-6891</v>
      </c>
      <c r="H123" s="2">
        <v>4709714.6399999997</v>
      </c>
      <c r="I123" s="1" t="s">
        <v>40</v>
      </c>
      <c r="J123" s="1" t="s">
        <v>49</v>
      </c>
      <c r="K123" s="1" t="s">
        <v>283</v>
      </c>
      <c r="L123" s="1" t="s">
        <v>39</v>
      </c>
      <c r="M123" s="1" t="s">
        <v>558</v>
      </c>
      <c r="P123">
        <v>395390</v>
      </c>
      <c r="Q123" t="s">
        <v>1609</v>
      </c>
      <c r="R123" t="s">
        <v>1257</v>
      </c>
      <c r="S123" t="s">
        <v>1258</v>
      </c>
      <c r="T123" t="s">
        <v>1259</v>
      </c>
      <c r="U123">
        <v>6891</v>
      </c>
      <c r="V123" s="8">
        <f>G123+U123</f>
        <v>0</v>
      </c>
      <c r="W123">
        <v>0</v>
      </c>
      <c r="X123">
        <v>57</v>
      </c>
      <c r="Y123">
        <v>0</v>
      </c>
      <c r="Z123">
        <v>0</v>
      </c>
      <c r="AA123">
        <v>0</v>
      </c>
      <c r="AB123">
        <v>2498291.7999999998</v>
      </c>
      <c r="AC123" s="4">
        <v>46267</v>
      </c>
      <c r="AD123" t="s">
        <v>1908</v>
      </c>
      <c r="AE123" t="s">
        <v>555</v>
      </c>
      <c r="AH123" t="s">
        <v>1614</v>
      </c>
      <c r="AI123" t="s">
        <v>1261</v>
      </c>
      <c r="AJ123" t="s">
        <v>1262</v>
      </c>
      <c r="AK123">
        <v>765244</v>
      </c>
      <c r="AL123" t="s">
        <v>1614</v>
      </c>
      <c r="AM123" t="s">
        <v>1263</v>
      </c>
      <c r="AN123" t="s">
        <v>1909</v>
      </c>
      <c r="AO123" t="s">
        <v>1910</v>
      </c>
      <c r="AP123" s="5">
        <v>46267.692361111112</v>
      </c>
      <c r="AQ123" t="s">
        <v>1266</v>
      </c>
      <c r="AR123" t="s">
        <v>1267</v>
      </c>
      <c r="AS123" t="s">
        <v>1268</v>
      </c>
      <c r="AT123" t="s">
        <v>1269</v>
      </c>
      <c r="AU123" t="s">
        <v>1270</v>
      </c>
    </row>
    <row r="124" spans="1:47" x14ac:dyDescent="0.25">
      <c r="A124" s="1" t="s">
        <v>425</v>
      </c>
      <c r="B124" s="1" t="s">
        <v>422</v>
      </c>
      <c r="C124" s="1" t="s">
        <v>422</v>
      </c>
      <c r="D124" s="1" t="s">
        <v>426</v>
      </c>
      <c r="E124" s="1" t="s">
        <v>38</v>
      </c>
      <c r="F124" s="1" t="s">
        <v>39</v>
      </c>
      <c r="G124" s="2">
        <v>-24606</v>
      </c>
      <c r="H124" s="2">
        <v>4082793.64</v>
      </c>
      <c r="I124" s="1" t="s">
        <v>40</v>
      </c>
      <c r="J124" s="1" t="s">
        <v>49</v>
      </c>
      <c r="K124" s="1" t="s">
        <v>283</v>
      </c>
      <c r="L124" s="1" t="s">
        <v>39</v>
      </c>
      <c r="M124" s="1" t="s">
        <v>427</v>
      </c>
      <c r="P124">
        <v>395390</v>
      </c>
      <c r="Q124" t="s">
        <v>1609</v>
      </c>
      <c r="R124" t="s">
        <v>1257</v>
      </c>
      <c r="S124" t="s">
        <v>1258</v>
      </c>
      <c r="T124" t="s">
        <v>1259</v>
      </c>
      <c r="U124">
        <v>24606</v>
      </c>
      <c r="V124" s="8">
        <f>G124+U124</f>
        <v>0</v>
      </c>
      <c r="W124">
        <v>0</v>
      </c>
      <c r="X124">
        <v>87</v>
      </c>
      <c r="Y124">
        <v>0</v>
      </c>
      <c r="Z124">
        <v>0</v>
      </c>
      <c r="AA124">
        <v>0</v>
      </c>
      <c r="AB124">
        <v>1896645</v>
      </c>
      <c r="AC124" s="4">
        <v>46267</v>
      </c>
      <c r="AD124" t="s">
        <v>2016</v>
      </c>
      <c r="AE124" t="s">
        <v>425</v>
      </c>
      <c r="AH124" t="s">
        <v>1614</v>
      </c>
      <c r="AI124" t="s">
        <v>1261</v>
      </c>
      <c r="AJ124" t="s">
        <v>1262</v>
      </c>
      <c r="AK124">
        <v>765244</v>
      </c>
      <c r="AL124" t="s">
        <v>1614</v>
      </c>
      <c r="AM124" t="s">
        <v>1263</v>
      </c>
      <c r="AN124" t="s">
        <v>2017</v>
      </c>
      <c r="AO124" t="s">
        <v>2018</v>
      </c>
      <c r="AP124" s="5">
        <v>46267.705555555556</v>
      </c>
      <c r="AQ124" t="s">
        <v>1266</v>
      </c>
      <c r="AR124" t="s">
        <v>1267</v>
      </c>
      <c r="AS124" t="s">
        <v>1268</v>
      </c>
      <c r="AT124" t="s">
        <v>1269</v>
      </c>
      <c r="AU124" t="s">
        <v>1270</v>
      </c>
    </row>
    <row r="125" spans="1:47" x14ac:dyDescent="0.25">
      <c r="A125" s="1" t="s">
        <v>417</v>
      </c>
      <c r="B125" s="1" t="s">
        <v>418</v>
      </c>
      <c r="C125" s="1" t="s">
        <v>418</v>
      </c>
      <c r="D125" s="1" t="s">
        <v>419</v>
      </c>
      <c r="E125" s="1" t="s">
        <v>38</v>
      </c>
      <c r="F125" s="1" t="s">
        <v>39</v>
      </c>
      <c r="G125" s="2">
        <v>-4888</v>
      </c>
      <c r="H125" s="2">
        <v>4061092.64</v>
      </c>
      <c r="I125" s="1" t="s">
        <v>40</v>
      </c>
      <c r="J125" s="1" t="s">
        <v>49</v>
      </c>
      <c r="K125" s="1" t="s">
        <v>283</v>
      </c>
      <c r="L125" s="1" t="s">
        <v>39</v>
      </c>
      <c r="M125" s="1" t="s">
        <v>420</v>
      </c>
      <c r="P125">
        <v>395390</v>
      </c>
      <c r="Q125" t="s">
        <v>1609</v>
      </c>
      <c r="R125" t="s">
        <v>1257</v>
      </c>
      <c r="S125" t="s">
        <v>1258</v>
      </c>
      <c r="T125" t="s">
        <v>1259</v>
      </c>
      <c r="U125">
        <v>4888</v>
      </c>
      <c r="V125" s="8">
        <f>G125+U125</f>
        <v>0</v>
      </c>
      <c r="W125">
        <v>0</v>
      </c>
      <c r="X125">
        <v>49</v>
      </c>
      <c r="Y125">
        <v>0</v>
      </c>
      <c r="Z125">
        <v>0</v>
      </c>
      <c r="AA125">
        <v>0</v>
      </c>
      <c r="AB125">
        <v>1702707</v>
      </c>
      <c r="AC125" s="4">
        <v>46267</v>
      </c>
      <c r="AD125" t="s">
        <v>2022</v>
      </c>
      <c r="AE125" t="s">
        <v>417</v>
      </c>
      <c r="AH125" t="s">
        <v>1614</v>
      </c>
      <c r="AI125" t="s">
        <v>1261</v>
      </c>
      <c r="AJ125" t="s">
        <v>1262</v>
      </c>
      <c r="AK125">
        <v>765244</v>
      </c>
      <c r="AL125" t="s">
        <v>1614</v>
      </c>
      <c r="AM125" t="s">
        <v>1263</v>
      </c>
      <c r="AN125" t="s">
        <v>2023</v>
      </c>
      <c r="AO125" t="s">
        <v>2024</v>
      </c>
      <c r="AP125" s="5">
        <v>46267.705555555556</v>
      </c>
      <c r="AQ125" t="s">
        <v>1266</v>
      </c>
      <c r="AR125" t="s">
        <v>1267</v>
      </c>
      <c r="AS125" t="s">
        <v>1268</v>
      </c>
      <c r="AT125" t="s">
        <v>1269</v>
      </c>
      <c r="AU125" t="s">
        <v>1270</v>
      </c>
    </row>
    <row r="126" spans="1:47" x14ac:dyDescent="0.25">
      <c r="A126" s="1" t="s">
        <v>401</v>
      </c>
      <c r="B126" s="1" t="s">
        <v>402</v>
      </c>
      <c r="C126" s="1" t="s">
        <v>402</v>
      </c>
      <c r="D126" s="1" t="s">
        <v>403</v>
      </c>
      <c r="E126" s="1" t="s">
        <v>38</v>
      </c>
      <c r="F126" s="1" t="s">
        <v>39</v>
      </c>
      <c r="G126" s="2">
        <v>-17720</v>
      </c>
      <c r="H126" s="2">
        <v>4006509.64</v>
      </c>
      <c r="I126" s="1" t="s">
        <v>40</v>
      </c>
      <c r="J126" s="1" t="s">
        <v>49</v>
      </c>
      <c r="K126" s="1" t="s">
        <v>283</v>
      </c>
      <c r="L126" s="1" t="s">
        <v>39</v>
      </c>
      <c r="M126" s="1" t="s">
        <v>404</v>
      </c>
      <c r="P126">
        <v>395390</v>
      </c>
      <c r="Q126" t="s">
        <v>1609</v>
      </c>
      <c r="R126" t="s">
        <v>1257</v>
      </c>
      <c r="S126" t="s">
        <v>1258</v>
      </c>
      <c r="T126" t="s">
        <v>1259</v>
      </c>
      <c r="U126">
        <v>17720</v>
      </c>
      <c r="V126" s="8">
        <f>G126+U126</f>
        <v>0</v>
      </c>
      <c r="W126">
        <v>0</v>
      </c>
      <c r="X126">
        <v>82</v>
      </c>
      <c r="Y126">
        <v>0</v>
      </c>
      <c r="Z126">
        <v>0</v>
      </c>
      <c r="AA126">
        <v>0</v>
      </c>
      <c r="AB126">
        <v>1170888.8</v>
      </c>
      <c r="AC126" s="4">
        <v>46267</v>
      </c>
      <c r="AD126" t="s">
        <v>2031</v>
      </c>
      <c r="AE126" t="s">
        <v>401</v>
      </c>
      <c r="AH126" t="s">
        <v>1614</v>
      </c>
      <c r="AI126" t="s">
        <v>1261</v>
      </c>
      <c r="AJ126" t="s">
        <v>1262</v>
      </c>
      <c r="AK126">
        <v>765244</v>
      </c>
      <c r="AL126" t="s">
        <v>1614</v>
      </c>
      <c r="AM126" t="s">
        <v>1263</v>
      </c>
      <c r="AN126" t="s">
        <v>2032</v>
      </c>
      <c r="AO126" t="s">
        <v>2033</v>
      </c>
      <c r="AP126" s="5">
        <v>46267.705555555556</v>
      </c>
      <c r="AQ126" t="s">
        <v>1266</v>
      </c>
      <c r="AR126" t="s">
        <v>1267</v>
      </c>
      <c r="AS126" t="s">
        <v>1268</v>
      </c>
      <c r="AT126" t="s">
        <v>1269</v>
      </c>
      <c r="AU126" t="s">
        <v>1270</v>
      </c>
    </row>
    <row r="127" spans="1:47" x14ac:dyDescent="0.25">
      <c r="A127" s="1" t="s">
        <v>371</v>
      </c>
      <c r="B127" s="1" t="s">
        <v>372</v>
      </c>
      <c r="C127" s="1" t="s">
        <v>372</v>
      </c>
      <c r="D127" s="1" t="s">
        <v>373</v>
      </c>
      <c r="E127" s="1" t="s">
        <v>38</v>
      </c>
      <c r="F127" s="1" t="s">
        <v>39</v>
      </c>
      <c r="G127" s="2">
        <v>-300</v>
      </c>
      <c r="H127" s="2">
        <v>3976580.64</v>
      </c>
      <c r="I127" s="1" t="s">
        <v>40</v>
      </c>
      <c r="J127" s="1" t="s">
        <v>41</v>
      </c>
      <c r="K127" s="1" t="s">
        <v>374</v>
      </c>
      <c r="L127" s="1" t="s">
        <v>39</v>
      </c>
      <c r="M127" s="1" t="s">
        <v>39</v>
      </c>
      <c r="O127">
        <v>756756</v>
      </c>
      <c r="P127">
        <v>254115223108</v>
      </c>
      <c r="Q127" t="s">
        <v>2055</v>
      </c>
      <c r="R127" t="s">
        <v>1286</v>
      </c>
      <c r="T127" t="s">
        <v>1259</v>
      </c>
      <c r="U127">
        <v>300</v>
      </c>
      <c r="V127" s="8">
        <f>G127+U127</f>
        <v>0</v>
      </c>
      <c r="W127">
        <v>0</v>
      </c>
      <c r="X127">
        <v>10</v>
      </c>
      <c r="Y127">
        <v>0</v>
      </c>
      <c r="Z127">
        <v>0</v>
      </c>
      <c r="AA127">
        <v>0</v>
      </c>
      <c r="AB127">
        <v>28101</v>
      </c>
      <c r="AC127" s="4">
        <v>46267</v>
      </c>
      <c r="AD127" t="s">
        <v>2056</v>
      </c>
      <c r="AE127" t="s">
        <v>371</v>
      </c>
      <c r="AI127" t="s">
        <v>1261</v>
      </c>
      <c r="AJ127" t="s">
        <v>1262</v>
      </c>
      <c r="AK127">
        <v>3017887</v>
      </c>
      <c r="AM127" t="s">
        <v>1263</v>
      </c>
      <c r="AN127" t="s">
        <v>2057</v>
      </c>
      <c r="AO127" t="s">
        <v>2057</v>
      </c>
      <c r="AP127" s="5">
        <v>46267.707638888889</v>
      </c>
      <c r="AQ127" t="s">
        <v>1266</v>
      </c>
      <c r="AR127" t="s">
        <v>1293</v>
      </c>
      <c r="AS127" t="s">
        <v>1268</v>
      </c>
      <c r="AT127" t="s">
        <v>1269</v>
      </c>
      <c r="AU127" t="s">
        <v>1270</v>
      </c>
    </row>
    <row r="128" spans="1:47" x14ac:dyDescent="0.25">
      <c r="A128" s="1" t="s">
        <v>341</v>
      </c>
      <c r="B128" s="1" t="s">
        <v>338</v>
      </c>
      <c r="C128" s="1" t="s">
        <v>342</v>
      </c>
      <c r="D128" s="1" t="s">
        <v>343</v>
      </c>
      <c r="E128" s="1" t="s">
        <v>38</v>
      </c>
      <c r="F128" s="1" t="s">
        <v>39</v>
      </c>
      <c r="G128" s="2">
        <v>-6278</v>
      </c>
      <c r="H128" s="2">
        <v>3909017.64</v>
      </c>
      <c r="I128" s="1" t="s">
        <v>40</v>
      </c>
      <c r="J128" s="1" t="s">
        <v>49</v>
      </c>
      <c r="K128" s="1" t="s">
        <v>279</v>
      </c>
      <c r="L128" s="1" t="s">
        <v>39</v>
      </c>
      <c r="M128" s="1" t="s">
        <v>344</v>
      </c>
      <c r="P128">
        <v>395390</v>
      </c>
      <c r="Q128" t="s">
        <v>1609</v>
      </c>
      <c r="R128" t="s">
        <v>1257</v>
      </c>
      <c r="S128" t="s">
        <v>1258</v>
      </c>
      <c r="T128" t="s">
        <v>1259</v>
      </c>
      <c r="U128">
        <v>6278</v>
      </c>
      <c r="V128" s="8">
        <f>G128+U128</f>
        <v>0</v>
      </c>
      <c r="W128">
        <v>0</v>
      </c>
      <c r="X128">
        <v>57</v>
      </c>
      <c r="Y128">
        <v>0</v>
      </c>
      <c r="Z128">
        <v>0</v>
      </c>
      <c r="AA128">
        <v>0</v>
      </c>
      <c r="AB128">
        <v>648977.80000000005</v>
      </c>
      <c r="AC128" s="4">
        <v>46267</v>
      </c>
      <c r="AD128" t="s">
        <v>2077</v>
      </c>
      <c r="AE128" t="s">
        <v>341</v>
      </c>
      <c r="AH128" t="s">
        <v>1564</v>
      </c>
      <c r="AI128" t="s">
        <v>1261</v>
      </c>
      <c r="AJ128" t="s">
        <v>1262</v>
      </c>
      <c r="AK128">
        <v>852648</v>
      </c>
      <c r="AL128" t="s">
        <v>1564</v>
      </c>
      <c r="AM128" t="s">
        <v>1263</v>
      </c>
      <c r="AN128" t="s">
        <v>2078</v>
      </c>
      <c r="AO128" t="s">
        <v>2079</v>
      </c>
      <c r="AP128" s="5">
        <v>46267.715277777781</v>
      </c>
      <c r="AQ128" t="s">
        <v>1266</v>
      </c>
      <c r="AR128" t="s">
        <v>1267</v>
      </c>
      <c r="AS128" t="s">
        <v>1268</v>
      </c>
      <c r="AT128" t="s">
        <v>1269</v>
      </c>
      <c r="AU128" t="s">
        <v>1270</v>
      </c>
    </row>
    <row r="129" spans="1:47" x14ac:dyDescent="0.25">
      <c r="A129" s="1" t="s">
        <v>349</v>
      </c>
      <c r="B129" s="1" t="s">
        <v>350</v>
      </c>
      <c r="C129" s="1" t="s">
        <v>350</v>
      </c>
      <c r="D129" s="1" t="s">
        <v>351</v>
      </c>
      <c r="E129" s="1" t="s">
        <v>38</v>
      </c>
      <c r="F129" s="1" t="s">
        <v>39</v>
      </c>
      <c r="G129" s="2">
        <v>-3837</v>
      </c>
      <c r="H129" s="2">
        <v>3924077.64</v>
      </c>
      <c r="I129" s="1" t="s">
        <v>40</v>
      </c>
      <c r="J129" s="1" t="s">
        <v>49</v>
      </c>
      <c r="K129" s="1" t="s">
        <v>283</v>
      </c>
      <c r="L129" s="1" t="s">
        <v>39</v>
      </c>
      <c r="M129" s="1" t="s">
        <v>352</v>
      </c>
      <c r="P129">
        <v>395390</v>
      </c>
      <c r="Q129" t="s">
        <v>1609</v>
      </c>
      <c r="R129" t="s">
        <v>1257</v>
      </c>
      <c r="S129" t="s">
        <v>1258</v>
      </c>
      <c r="T129" t="s">
        <v>1259</v>
      </c>
      <c r="U129">
        <v>3837</v>
      </c>
      <c r="V129" s="8">
        <f>G129+U129</f>
        <v>0</v>
      </c>
      <c r="W129">
        <v>0</v>
      </c>
      <c r="X129">
        <v>49</v>
      </c>
      <c r="Y129">
        <v>0</v>
      </c>
      <c r="Z129">
        <v>0</v>
      </c>
      <c r="AA129">
        <v>0</v>
      </c>
      <c r="AB129">
        <v>640597.80000000005</v>
      </c>
      <c r="AC129" s="4">
        <v>46267</v>
      </c>
      <c r="AD129" t="s">
        <v>2080</v>
      </c>
      <c r="AE129" t="s">
        <v>349</v>
      </c>
      <c r="AH129" t="s">
        <v>1614</v>
      </c>
      <c r="AI129" t="s">
        <v>1261</v>
      </c>
      <c r="AJ129" t="s">
        <v>1262</v>
      </c>
      <c r="AK129">
        <v>765244</v>
      </c>
      <c r="AL129" t="s">
        <v>1614</v>
      </c>
      <c r="AM129" t="s">
        <v>1263</v>
      </c>
      <c r="AN129" t="s">
        <v>2081</v>
      </c>
      <c r="AO129" t="s">
        <v>2082</v>
      </c>
      <c r="AP129" s="5">
        <v>46267.715277777781</v>
      </c>
      <c r="AQ129" t="s">
        <v>1266</v>
      </c>
      <c r="AR129" t="s">
        <v>1267</v>
      </c>
      <c r="AS129" t="s">
        <v>1268</v>
      </c>
      <c r="AT129" t="s">
        <v>1269</v>
      </c>
      <c r="AU129" t="s">
        <v>1270</v>
      </c>
    </row>
    <row r="130" spans="1:47" x14ac:dyDescent="0.25">
      <c r="A130" s="1" t="s">
        <v>321</v>
      </c>
      <c r="B130" s="1" t="s">
        <v>314</v>
      </c>
      <c r="C130" s="1" t="s">
        <v>314</v>
      </c>
      <c r="D130" s="1" t="s">
        <v>322</v>
      </c>
      <c r="E130" s="1" t="s">
        <v>38</v>
      </c>
      <c r="F130" s="1" t="s">
        <v>39</v>
      </c>
      <c r="G130" s="2">
        <v>-2330</v>
      </c>
      <c r="H130" s="2">
        <v>3865119.64</v>
      </c>
      <c r="I130" s="1" t="s">
        <v>40</v>
      </c>
      <c r="J130" s="1" t="s">
        <v>49</v>
      </c>
      <c r="K130" s="1" t="s">
        <v>283</v>
      </c>
      <c r="L130" s="1" t="s">
        <v>39</v>
      </c>
      <c r="M130" s="1" t="s">
        <v>323</v>
      </c>
      <c r="P130">
        <v>395390</v>
      </c>
      <c r="Q130" t="s">
        <v>1609</v>
      </c>
      <c r="R130" t="s">
        <v>1257</v>
      </c>
      <c r="S130" t="s">
        <v>1258</v>
      </c>
      <c r="T130" t="s">
        <v>1259</v>
      </c>
      <c r="U130">
        <v>2330</v>
      </c>
      <c r="V130" s="8">
        <f>G130+U130</f>
        <v>0</v>
      </c>
      <c r="W130">
        <v>0</v>
      </c>
      <c r="X130">
        <v>35</v>
      </c>
      <c r="Y130">
        <v>0</v>
      </c>
      <c r="Z130">
        <v>0</v>
      </c>
      <c r="AA130">
        <v>0</v>
      </c>
      <c r="AB130">
        <v>176377.8</v>
      </c>
      <c r="AC130" s="4">
        <v>46267</v>
      </c>
      <c r="AD130" t="s">
        <v>2117</v>
      </c>
      <c r="AE130" t="s">
        <v>321</v>
      </c>
      <c r="AH130" t="s">
        <v>1614</v>
      </c>
      <c r="AI130" t="s">
        <v>1261</v>
      </c>
      <c r="AJ130" t="s">
        <v>1262</v>
      </c>
      <c r="AK130">
        <v>765244</v>
      </c>
      <c r="AL130" t="s">
        <v>1614</v>
      </c>
      <c r="AM130" t="s">
        <v>1263</v>
      </c>
      <c r="AN130" t="s">
        <v>2118</v>
      </c>
      <c r="AO130" t="s">
        <v>2119</v>
      </c>
      <c r="AP130" s="5">
        <v>46267.715277777781</v>
      </c>
      <c r="AQ130" t="s">
        <v>1266</v>
      </c>
      <c r="AR130" t="s">
        <v>1267</v>
      </c>
      <c r="AS130" t="s">
        <v>1268</v>
      </c>
      <c r="AT130" t="s">
        <v>1269</v>
      </c>
      <c r="AU130" t="s">
        <v>1270</v>
      </c>
    </row>
    <row r="131" spans="1:47" x14ac:dyDescent="0.25">
      <c r="A131" s="1" t="s">
        <v>267</v>
      </c>
      <c r="B131" s="1" t="s">
        <v>268</v>
      </c>
      <c r="C131" s="1" t="s">
        <v>268</v>
      </c>
      <c r="D131" s="1" t="s">
        <v>269</v>
      </c>
      <c r="E131" s="1" t="s">
        <v>38</v>
      </c>
      <c r="F131" s="1" t="s">
        <v>39</v>
      </c>
      <c r="G131" s="2">
        <v>-240</v>
      </c>
      <c r="H131" s="2">
        <v>3802285.64</v>
      </c>
      <c r="I131" s="1" t="s">
        <v>40</v>
      </c>
      <c r="J131" s="1" t="s">
        <v>41</v>
      </c>
      <c r="K131" s="1" t="s">
        <v>270</v>
      </c>
      <c r="L131" s="1" t="s">
        <v>39</v>
      </c>
      <c r="M131" s="1" t="s">
        <v>39</v>
      </c>
      <c r="P131">
        <v>60850</v>
      </c>
      <c r="Q131" t="s">
        <v>2145</v>
      </c>
      <c r="R131" t="s">
        <v>1257</v>
      </c>
      <c r="S131" t="s">
        <v>1258</v>
      </c>
      <c r="T131" t="s">
        <v>1259</v>
      </c>
      <c r="U131">
        <v>240</v>
      </c>
      <c r="V131" s="8">
        <f>G131+U131</f>
        <v>0</v>
      </c>
      <c r="W131">
        <v>0</v>
      </c>
      <c r="X131">
        <v>10</v>
      </c>
      <c r="Y131">
        <v>0</v>
      </c>
      <c r="Z131">
        <v>1</v>
      </c>
      <c r="AA131">
        <v>0</v>
      </c>
      <c r="AB131">
        <v>79.430000000000007</v>
      </c>
      <c r="AC131" s="4">
        <v>46267</v>
      </c>
      <c r="AD131" t="s">
        <v>2146</v>
      </c>
      <c r="AE131" t="s">
        <v>267</v>
      </c>
      <c r="AI131" t="s">
        <v>1261</v>
      </c>
      <c r="AJ131" t="s">
        <v>1262</v>
      </c>
      <c r="AK131">
        <v>707673</v>
      </c>
      <c r="AM131" t="s">
        <v>1263</v>
      </c>
      <c r="AN131" t="s">
        <v>2147</v>
      </c>
      <c r="AO131" t="s">
        <v>2148</v>
      </c>
      <c r="AP131" s="5">
        <v>46267.724999999999</v>
      </c>
      <c r="AQ131" t="s">
        <v>1266</v>
      </c>
      <c r="AS131" t="s">
        <v>1268</v>
      </c>
      <c r="AT131" t="s">
        <v>1269</v>
      </c>
      <c r="AU131" t="s">
        <v>1270</v>
      </c>
    </row>
    <row r="132" spans="1:47" x14ac:dyDescent="0.25">
      <c r="A132" s="1" t="s">
        <v>901</v>
      </c>
      <c r="B132" s="1" t="s">
        <v>902</v>
      </c>
      <c r="C132" s="1" t="s">
        <v>902</v>
      </c>
      <c r="D132" s="1" t="s">
        <v>903</v>
      </c>
      <c r="E132" s="1" t="s">
        <v>38</v>
      </c>
      <c r="F132" s="1" t="s">
        <v>39</v>
      </c>
      <c r="G132" s="2">
        <v>-100000</v>
      </c>
      <c r="H132" s="2">
        <v>5548588.6399999997</v>
      </c>
      <c r="I132" s="1" t="s">
        <v>40</v>
      </c>
      <c r="J132" s="1" t="s">
        <v>41</v>
      </c>
      <c r="K132" s="1" t="s">
        <v>904</v>
      </c>
      <c r="L132" s="1" t="s">
        <v>39</v>
      </c>
      <c r="M132" s="1" t="s">
        <v>39</v>
      </c>
      <c r="P132">
        <v>706931</v>
      </c>
      <c r="Q132" t="s">
        <v>1576</v>
      </c>
      <c r="R132" t="s">
        <v>1257</v>
      </c>
      <c r="S132" t="s">
        <v>1258</v>
      </c>
      <c r="T132" t="s">
        <v>1259</v>
      </c>
      <c r="U132">
        <v>100000</v>
      </c>
      <c r="V132" s="8">
        <f>G132+U132</f>
        <v>0</v>
      </c>
      <c r="W132">
        <v>0</v>
      </c>
      <c r="X132">
        <v>15</v>
      </c>
      <c r="Y132">
        <v>0</v>
      </c>
      <c r="Z132">
        <v>1</v>
      </c>
      <c r="AA132">
        <v>0</v>
      </c>
      <c r="AB132">
        <v>95612.96</v>
      </c>
      <c r="AC132" s="4">
        <v>46267</v>
      </c>
      <c r="AD132" t="s">
        <v>1580</v>
      </c>
      <c r="AE132" t="s">
        <v>901</v>
      </c>
      <c r="AI132" t="s">
        <v>1261</v>
      </c>
      <c r="AJ132" t="s">
        <v>1262</v>
      </c>
      <c r="AK132">
        <v>519025</v>
      </c>
      <c r="AM132" t="s">
        <v>1263</v>
      </c>
      <c r="AN132" t="s">
        <v>1581</v>
      </c>
      <c r="AO132" t="s">
        <v>1582</v>
      </c>
      <c r="AP132" s="5">
        <v>46267.645138888889</v>
      </c>
      <c r="AQ132" t="s">
        <v>1266</v>
      </c>
      <c r="AS132" t="s">
        <v>1268</v>
      </c>
      <c r="AT132" t="s">
        <v>1269</v>
      </c>
      <c r="AU132" t="s">
        <v>1270</v>
      </c>
    </row>
    <row r="133" spans="1:47" x14ac:dyDescent="0.25">
      <c r="A133" s="1" t="s">
        <v>895</v>
      </c>
      <c r="B133" s="1" t="s">
        <v>896</v>
      </c>
      <c r="C133" s="1" t="s">
        <v>896</v>
      </c>
      <c r="D133" s="1" t="s">
        <v>897</v>
      </c>
      <c r="E133" s="1" t="s">
        <v>38</v>
      </c>
      <c r="F133" s="1" t="s">
        <v>39</v>
      </c>
      <c r="G133" s="2">
        <v>-11500</v>
      </c>
      <c r="H133" s="2">
        <v>5536475.6399999997</v>
      </c>
      <c r="I133" s="1" t="s">
        <v>40</v>
      </c>
      <c r="J133" s="1" t="s">
        <v>49</v>
      </c>
      <c r="K133" s="1" t="s">
        <v>261</v>
      </c>
      <c r="L133" s="1" t="s">
        <v>39</v>
      </c>
      <c r="M133" s="1" t="s">
        <v>898</v>
      </c>
      <c r="O133">
        <v>756756</v>
      </c>
      <c r="P133">
        <v>254703822239</v>
      </c>
      <c r="Q133" t="s">
        <v>1586</v>
      </c>
      <c r="R133" t="s">
        <v>1286</v>
      </c>
      <c r="T133" t="s">
        <v>1259</v>
      </c>
      <c r="U133">
        <v>11500</v>
      </c>
      <c r="V133" s="8">
        <f>G133+U133</f>
        <v>0</v>
      </c>
      <c r="W133">
        <v>0</v>
      </c>
      <c r="X133">
        <v>70</v>
      </c>
      <c r="Y133">
        <v>0</v>
      </c>
      <c r="Z133">
        <v>0</v>
      </c>
      <c r="AA133">
        <v>0</v>
      </c>
      <c r="AB133">
        <v>10669</v>
      </c>
      <c r="AC133" s="4">
        <v>46267</v>
      </c>
      <c r="AD133" t="s">
        <v>1587</v>
      </c>
      <c r="AE133" t="s">
        <v>895</v>
      </c>
      <c r="AH133" t="s">
        <v>1588</v>
      </c>
      <c r="AI133" t="s">
        <v>1261</v>
      </c>
      <c r="AJ133" t="s">
        <v>1262</v>
      </c>
      <c r="AK133">
        <v>600100</v>
      </c>
      <c r="AL133" t="s">
        <v>1588</v>
      </c>
      <c r="AM133" t="s">
        <v>1263</v>
      </c>
      <c r="AN133" t="s">
        <v>1589</v>
      </c>
      <c r="AO133">
        <v>106547</v>
      </c>
      <c r="AP133" s="5">
        <v>46267.649305555555</v>
      </c>
      <c r="AQ133" t="s">
        <v>1266</v>
      </c>
      <c r="AR133" t="s">
        <v>1293</v>
      </c>
      <c r="AS133" t="s">
        <v>1268</v>
      </c>
      <c r="AT133" t="s">
        <v>1269</v>
      </c>
      <c r="AU133" t="s">
        <v>1270</v>
      </c>
    </row>
    <row r="134" spans="1:47" x14ac:dyDescent="0.25">
      <c r="A134" s="1" t="s">
        <v>887</v>
      </c>
      <c r="B134" s="1" t="s">
        <v>888</v>
      </c>
      <c r="C134" s="1" t="s">
        <v>888</v>
      </c>
      <c r="D134" s="1" t="s">
        <v>889</v>
      </c>
      <c r="E134" s="1" t="s">
        <v>38</v>
      </c>
      <c r="F134" s="1" t="s">
        <v>39</v>
      </c>
      <c r="G134" s="2">
        <v>-12000</v>
      </c>
      <c r="H134" s="2">
        <v>5522894.6399999997</v>
      </c>
      <c r="I134" s="1" t="s">
        <v>40</v>
      </c>
      <c r="J134" s="1" t="s">
        <v>41</v>
      </c>
      <c r="K134" s="1" t="s">
        <v>890</v>
      </c>
      <c r="L134" s="1" t="s">
        <v>39</v>
      </c>
      <c r="M134" s="1" t="s">
        <v>39</v>
      </c>
      <c r="O134">
        <v>756756</v>
      </c>
      <c r="P134">
        <v>254795390620</v>
      </c>
      <c r="Q134" t="s">
        <v>1583</v>
      </c>
      <c r="R134" t="s">
        <v>1386</v>
      </c>
      <c r="T134" t="s">
        <v>1259</v>
      </c>
      <c r="U134">
        <v>12000</v>
      </c>
      <c r="V134" s="8">
        <f>G134+U134</f>
        <v>0</v>
      </c>
      <c r="W134">
        <v>0</v>
      </c>
      <c r="X134">
        <v>15</v>
      </c>
      <c r="Y134">
        <v>0</v>
      </c>
      <c r="Z134">
        <v>0</v>
      </c>
      <c r="AA134">
        <v>0</v>
      </c>
      <c r="AB134">
        <v>16604</v>
      </c>
      <c r="AC134" s="4">
        <v>46267</v>
      </c>
      <c r="AD134" t="s">
        <v>1593</v>
      </c>
      <c r="AE134" t="s">
        <v>887</v>
      </c>
      <c r="AI134" t="s">
        <v>1261</v>
      </c>
      <c r="AJ134" t="s">
        <v>1262</v>
      </c>
      <c r="AK134">
        <v>5291253</v>
      </c>
      <c r="AM134" t="s">
        <v>1263</v>
      </c>
      <c r="AN134" t="s">
        <v>1594</v>
      </c>
      <c r="AO134" t="s">
        <v>1594</v>
      </c>
      <c r="AP134" s="5">
        <v>46267.65347222222</v>
      </c>
      <c r="AQ134" t="s">
        <v>1266</v>
      </c>
      <c r="AR134" t="s">
        <v>1293</v>
      </c>
      <c r="AS134" t="s">
        <v>1268</v>
      </c>
      <c r="AT134" t="s">
        <v>1269</v>
      </c>
      <c r="AU134" t="s">
        <v>1270</v>
      </c>
    </row>
    <row r="135" spans="1:47" x14ac:dyDescent="0.25">
      <c r="A135" s="1" t="s">
        <v>867</v>
      </c>
      <c r="B135" s="1" t="s">
        <v>868</v>
      </c>
      <c r="C135" s="1" t="s">
        <v>869</v>
      </c>
      <c r="D135" s="1" t="s">
        <v>870</v>
      </c>
      <c r="E135" s="1" t="s">
        <v>38</v>
      </c>
      <c r="F135" s="1" t="s">
        <v>39</v>
      </c>
      <c r="G135" s="2">
        <v>-21500</v>
      </c>
      <c r="H135" s="2">
        <v>5411415.6399999997</v>
      </c>
      <c r="I135" s="1" t="s">
        <v>40</v>
      </c>
      <c r="J135" s="1" t="s">
        <v>49</v>
      </c>
      <c r="K135" s="1" t="s">
        <v>220</v>
      </c>
      <c r="L135" s="1" t="s">
        <v>39</v>
      </c>
      <c r="M135" s="1" t="s">
        <v>871</v>
      </c>
      <c r="P135">
        <v>379411</v>
      </c>
      <c r="Q135" t="s">
        <v>1524</v>
      </c>
      <c r="R135" t="s">
        <v>1257</v>
      </c>
      <c r="T135" t="s">
        <v>1259</v>
      </c>
      <c r="U135">
        <v>21500</v>
      </c>
      <c r="V135" s="8">
        <f>G135+U135</f>
        <v>0</v>
      </c>
      <c r="W135">
        <v>0</v>
      </c>
      <c r="X135">
        <v>87</v>
      </c>
      <c r="Y135">
        <v>0</v>
      </c>
      <c r="Z135">
        <v>1</v>
      </c>
      <c r="AA135">
        <v>0</v>
      </c>
      <c r="AB135">
        <v>1063177.872</v>
      </c>
      <c r="AC135" s="4">
        <v>46267</v>
      </c>
      <c r="AD135" t="s">
        <v>1606</v>
      </c>
      <c r="AE135" t="s">
        <v>867</v>
      </c>
      <c r="AH135" t="s">
        <v>1326</v>
      </c>
      <c r="AI135" t="s">
        <v>1261</v>
      </c>
      <c r="AJ135" t="s">
        <v>1262</v>
      </c>
      <c r="AK135">
        <v>247247</v>
      </c>
      <c r="AL135" t="s">
        <v>1326</v>
      </c>
      <c r="AM135" t="s">
        <v>1263</v>
      </c>
      <c r="AN135" t="s">
        <v>1607</v>
      </c>
      <c r="AO135" t="s">
        <v>1608</v>
      </c>
      <c r="AP135" s="5">
        <v>46267.679861111108</v>
      </c>
      <c r="AQ135" t="s">
        <v>1266</v>
      </c>
      <c r="AR135" t="s">
        <v>1267</v>
      </c>
      <c r="AS135" t="s">
        <v>1268</v>
      </c>
      <c r="AT135" t="s">
        <v>1269</v>
      </c>
      <c r="AU135" t="s">
        <v>1270</v>
      </c>
    </row>
    <row r="136" spans="1:47" x14ac:dyDescent="0.25">
      <c r="A136" s="1" t="s">
        <v>832</v>
      </c>
      <c r="B136" s="1" t="s">
        <v>822</v>
      </c>
      <c r="C136" s="1" t="s">
        <v>833</v>
      </c>
      <c r="D136" s="1" t="s">
        <v>834</v>
      </c>
      <c r="E136" s="1" t="s">
        <v>38</v>
      </c>
      <c r="F136" s="1" t="s">
        <v>39</v>
      </c>
      <c r="G136" s="2">
        <v>-4389</v>
      </c>
      <c r="H136" s="2">
        <v>5341513.6399999997</v>
      </c>
      <c r="I136" s="1" t="s">
        <v>40</v>
      </c>
      <c r="J136" s="1" t="s">
        <v>49</v>
      </c>
      <c r="K136" s="1" t="s">
        <v>279</v>
      </c>
      <c r="L136" s="1" t="s">
        <v>39</v>
      </c>
      <c r="M136" s="1" t="s">
        <v>835</v>
      </c>
      <c r="P136">
        <v>395390</v>
      </c>
      <c r="Q136" t="s">
        <v>1609</v>
      </c>
      <c r="R136" t="s">
        <v>1257</v>
      </c>
      <c r="S136" t="s">
        <v>1258</v>
      </c>
      <c r="T136" t="s">
        <v>1259</v>
      </c>
      <c r="U136">
        <v>4389</v>
      </c>
      <c r="V136" s="8">
        <f>G136+U136</f>
        <v>0</v>
      </c>
      <c r="W136">
        <v>0</v>
      </c>
      <c r="X136">
        <v>49</v>
      </c>
      <c r="Y136">
        <v>0</v>
      </c>
      <c r="Z136">
        <v>0</v>
      </c>
      <c r="AA136">
        <v>0</v>
      </c>
      <c r="AB136">
        <v>4238225</v>
      </c>
      <c r="AC136" s="4">
        <v>46267</v>
      </c>
      <c r="AD136" t="s">
        <v>1639</v>
      </c>
      <c r="AE136" t="s">
        <v>832</v>
      </c>
      <c r="AH136" t="s">
        <v>1564</v>
      </c>
      <c r="AI136" t="s">
        <v>1261</v>
      </c>
      <c r="AJ136" t="s">
        <v>1262</v>
      </c>
      <c r="AK136">
        <v>852648</v>
      </c>
      <c r="AL136" t="s">
        <v>1564</v>
      </c>
      <c r="AM136" t="s">
        <v>1263</v>
      </c>
      <c r="AN136" t="s">
        <v>1640</v>
      </c>
      <c r="AO136" t="s">
        <v>1641</v>
      </c>
      <c r="AP136" s="5">
        <v>46267.684027777781</v>
      </c>
      <c r="AQ136" t="s">
        <v>1266</v>
      </c>
      <c r="AR136" t="s">
        <v>1267</v>
      </c>
      <c r="AS136" t="s">
        <v>1268</v>
      </c>
      <c r="AT136" t="s">
        <v>1269</v>
      </c>
      <c r="AU136" t="s">
        <v>1270</v>
      </c>
    </row>
    <row r="137" spans="1:47" x14ac:dyDescent="0.25">
      <c r="A137" s="1" t="s">
        <v>802</v>
      </c>
      <c r="B137" s="1" t="s">
        <v>803</v>
      </c>
      <c r="C137" s="1" t="s">
        <v>803</v>
      </c>
      <c r="D137" s="1" t="s">
        <v>804</v>
      </c>
      <c r="E137" s="1" t="s">
        <v>38</v>
      </c>
      <c r="F137" s="1" t="s">
        <v>39</v>
      </c>
      <c r="G137" s="2">
        <v>-3567</v>
      </c>
      <c r="H137" s="2">
        <v>5316451.6399999997</v>
      </c>
      <c r="I137" s="1" t="s">
        <v>40</v>
      </c>
      <c r="J137" s="1" t="s">
        <v>49</v>
      </c>
      <c r="K137" s="1" t="s">
        <v>283</v>
      </c>
      <c r="L137" s="1" t="s">
        <v>39</v>
      </c>
      <c r="M137" s="1" t="s">
        <v>805</v>
      </c>
      <c r="P137">
        <v>395390</v>
      </c>
      <c r="Q137" t="s">
        <v>1609</v>
      </c>
      <c r="R137" t="s">
        <v>1257</v>
      </c>
      <c r="S137" t="s">
        <v>1258</v>
      </c>
      <c r="T137" t="s">
        <v>1259</v>
      </c>
      <c r="U137">
        <v>3567</v>
      </c>
      <c r="V137" s="8">
        <f>G137+U137</f>
        <v>0</v>
      </c>
      <c r="W137">
        <v>0</v>
      </c>
      <c r="X137">
        <v>49</v>
      </c>
      <c r="Y137">
        <v>0</v>
      </c>
      <c r="Z137">
        <v>0</v>
      </c>
      <c r="AA137">
        <v>0</v>
      </c>
      <c r="AB137">
        <v>4037172.8</v>
      </c>
      <c r="AC137" s="4">
        <v>46267</v>
      </c>
      <c r="AD137" t="s">
        <v>1660</v>
      </c>
      <c r="AE137" t="s">
        <v>802</v>
      </c>
      <c r="AH137" t="s">
        <v>1614</v>
      </c>
      <c r="AI137" t="s">
        <v>1261</v>
      </c>
      <c r="AJ137" t="s">
        <v>1262</v>
      </c>
      <c r="AK137">
        <v>765244</v>
      </c>
      <c r="AL137" t="s">
        <v>1614</v>
      </c>
      <c r="AM137" t="s">
        <v>1263</v>
      </c>
      <c r="AN137" t="s">
        <v>1661</v>
      </c>
      <c r="AO137" t="s">
        <v>1662</v>
      </c>
      <c r="AP137" s="5">
        <v>46267.684027777781</v>
      </c>
      <c r="AQ137" t="s">
        <v>1266</v>
      </c>
      <c r="AR137" t="s">
        <v>1267</v>
      </c>
      <c r="AS137" t="s">
        <v>1268</v>
      </c>
      <c r="AT137" t="s">
        <v>1269</v>
      </c>
      <c r="AU137" t="s">
        <v>1270</v>
      </c>
    </row>
    <row r="138" spans="1:47" x14ac:dyDescent="0.25">
      <c r="A138" s="1" t="s">
        <v>798</v>
      </c>
      <c r="B138" s="1" t="s">
        <v>799</v>
      </c>
      <c r="C138" s="1" t="s">
        <v>799</v>
      </c>
      <c r="D138" s="1" t="s">
        <v>800</v>
      </c>
      <c r="E138" s="1" t="s">
        <v>38</v>
      </c>
      <c r="F138" s="1" t="s">
        <v>39</v>
      </c>
      <c r="G138" s="2">
        <v>-47</v>
      </c>
      <c r="H138" s="2">
        <v>5316365.6399999997</v>
      </c>
      <c r="I138" s="1" t="s">
        <v>40</v>
      </c>
      <c r="J138" s="1" t="s">
        <v>49</v>
      </c>
      <c r="K138" s="1" t="s">
        <v>283</v>
      </c>
      <c r="L138" s="1" t="s">
        <v>39</v>
      </c>
      <c r="M138" s="1" t="s">
        <v>801</v>
      </c>
      <c r="P138">
        <v>395390</v>
      </c>
      <c r="Q138" t="s">
        <v>1609</v>
      </c>
      <c r="R138" t="s">
        <v>1257</v>
      </c>
      <c r="S138" t="s">
        <v>1258</v>
      </c>
      <c r="T138" t="s">
        <v>1259</v>
      </c>
      <c r="U138">
        <v>47</v>
      </c>
      <c r="V138" s="8">
        <f>G138+U138</f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3993002.8</v>
      </c>
      <c r="AC138" s="4">
        <v>46267</v>
      </c>
      <c r="AD138" t="s">
        <v>1663</v>
      </c>
      <c r="AE138" t="s">
        <v>798</v>
      </c>
      <c r="AH138" t="s">
        <v>1614</v>
      </c>
      <c r="AI138" t="s">
        <v>1261</v>
      </c>
      <c r="AJ138" t="s">
        <v>1262</v>
      </c>
      <c r="AK138">
        <v>765244</v>
      </c>
      <c r="AL138" t="s">
        <v>1614</v>
      </c>
      <c r="AM138" t="s">
        <v>1263</v>
      </c>
      <c r="AN138" t="s">
        <v>1664</v>
      </c>
      <c r="AO138" t="s">
        <v>1665</v>
      </c>
      <c r="AP138" s="5">
        <v>46267.684027777781</v>
      </c>
      <c r="AQ138" t="s">
        <v>1266</v>
      </c>
      <c r="AR138" t="s">
        <v>1267</v>
      </c>
      <c r="AS138" t="s">
        <v>1268</v>
      </c>
      <c r="AT138" t="s">
        <v>1269</v>
      </c>
      <c r="AU138" t="s">
        <v>1270</v>
      </c>
    </row>
    <row r="139" spans="1:47" x14ac:dyDescent="0.25">
      <c r="A139" s="1" t="s">
        <v>769</v>
      </c>
      <c r="B139" s="1" t="s">
        <v>770</v>
      </c>
      <c r="C139" s="1" t="s">
        <v>770</v>
      </c>
      <c r="D139" s="1" t="s">
        <v>771</v>
      </c>
      <c r="E139" s="1" t="s">
        <v>38</v>
      </c>
      <c r="F139" s="1" t="s">
        <v>39</v>
      </c>
      <c r="G139" s="2">
        <v>-5723</v>
      </c>
      <c r="H139" s="2">
        <v>5246622.6399999997</v>
      </c>
      <c r="I139" s="1" t="s">
        <v>40</v>
      </c>
      <c r="J139" s="1" t="s">
        <v>49</v>
      </c>
      <c r="K139" s="1" t="s">
        <v>283</v>
      </c>
      <c r="L139" s="1" t="s">
        <v>39</v>
      </c>
      <c r="M139" s="1" t="s">
        <v>772</v>
      </c>
      <c r="P139">
        <v>395390</v>
      </c>
      <c r="Q139" t="s">
        <v>1609</v>
      </c>
      <c r="R139" t="s">
        <v>1257</v>
      </c>
      <c r="S139" t="s">
        <v>1258</v>
      </c>
      <c r="T139" t="s">
        <v>1259</v>
      </c>
      <c r="U139">
        <v>5723</v>
      </c>
      <c r="V139" s="8">
        <f>G139+U139</f>
        <v>0</v>
      </c>
      <c r="W139">
        <v>0</v>
      </c>
      <c r="X139">
        <v>57</v>
      </c>
      <c r="Y139">
        <v>0</v>
      </c>
      <c r="Z139">
        <v>0</v>
      </c>
      <c r="AA139">
        <v>0</v>
      </c>
      <c r="AB139">
        <v>3679431.8</v>
      </c>
      <c r="AC139" s="4">
        <v>46267</v>
      </c>
      <c r="AD139" t="s">
        <v>1687</v>
      </c>
      <c r="AE139" t="s">
        <v>769</v>
      </c>
      <c r="AH139" t="s">
        <v>1614</v>
      </c>
      <c r="AI139" t="s">
        <v>1261</v>
      </c>
      <c r="AJ139" t="s">
        <v>1262</v>
      </c>
      <c r="AK139">
        <v>765244</v>
      </c>
      <c r="AL139" t="s">
        <v>1614</v>
      </c>
      <c r="AM139" t="s">
        <v>1263</v>
      </c>
      <c r="AN139" t="s">
        <v>1688</v>
      </c>
      <c r="AO139" t="s">
        <v>1689</v>
      </c>
      <c r="AP139" s="5">
        <v>46267.684027777781</v>
      </c>
      <c r="AQ139" t="s">
        <v>1266</v>
      </c>
      <c r="AR139" t="s">
        <v>1267</v>
      </c>
      <c r="AS139" t="s">
        <v>1268</v>
      </c>
      <c r="AT139" t="s">
        <v>1269</v>
      </c>
      <c r="AU139" t="s">
        <v>1270</v>
      </c>
    </row>
    <row r="140" spans="1:47" x14ac:dyDescent="0.25">
      <c r="A140" s="1" t="s">
        <v>683</v>
      </c>
      <c r="B140" s="1" t="s">
        <v>679</v>
      </c>
      <c r="C140" s="1" t="s">
        <v>680</v>
      </c>
      <c r="D140" s="1" t="s">
        <v>684</v>
      </c>
      <c r="E140" s="1" t="s">
        <v>38</v>
      </c>
      <c r="F140" s="1" t="s">
        <v>39</v>
      </c>
      <c r="G140" s="2">
        <v>-7153</v>
      </c>
      <c r="H140" s="2">
        <v>5061398.6399999997</v>
      </c>
      <c r="I140" s="1" t="s">
        <v>40</v>
      </c>
      <c r="J140" s="1" t="s">
        <v>49</v>
      </c>
      <c r="K140" s="1" t="s">
        <v>283</v>
      </c>
      <c r="L140" s="1" t="s">
        <v>39</v>
      </c>
      <c r="M140" s="1" t="s">
        <v>685</v>
      </c>
      <c r="P140">
        <v>395390</v>
      </c>
      <c r="Q140" t="s">
        <v>1609</v>
      </c>
      <c r="R140" t="s">
        <v>1257</v>
      </c>
      <c r="S140" t="s">
        <v>1258</v>
      </c>
      <c r="T140" t="s">
        <v>1259</v>
      </c>
      <c r="U140">
        <v>7153</v>
      </c>
      <c r="V140" s="8">
        <f>G140+U140</f>
        <v>0</v>
      </c>
      <c r="W140">
        <v>0</v>
      </c>
      <c r="X140">
        <v>57</v>
      </c>
      <c r="Y140">
        <v>0</v>
      </c>
      <c r="Z140">
        <v>0</v>
      </c>
      <c r="AA140">
        <v>0</v>
      </c>
      <c r="AB140">
        <v>3202237.8</v>
      </c>
      <c r="AC140" s="4">
        <v>46267</v>
      </c>
      <c r="AD140" t="s">
        <v>1781</v>
      </c>
      <c r="AE140" t="s">
        <v>683</v>
      </c>
      <c r="AH140" t="s">
        <v>1614</v>
      </c>
      <c r="AI140" t="s">
        <v>1261</v>
      </c>
      <c r="AJ140" t="s">
        <v>1262</v>
      </c>
      <c r="AK140">
        <v>765244</v>
      </c>
      <c r="AL140" t="s">
        <v>1614</v>
      </c>
      <c r="AM140" t="s">
        <v>1263</v>
      </c>
      <c r="AN140" t="s">
        <v>1782</v>
      </c>
      <c r="AO140" t="s">
        <v>1783</v>
      </c>
      <c r="AP140" s="5">
        <v>46267.692361111112</v>
      </c>
      <c r="AQ140" t="s">
        <v>1266</v>
      </c>
      <c r="AR140" t="s">
        <v>1267</v>
      </c>
      <c r="AS140" t="s">
        <v>1268</v>
      </c>
      <c r="AT140" t="s">
        <v>1269</v>
      </c>
      <c r="AU140" t="s">
        <v>1270</v>
      </c>
    </row>
    <row r="141" spans="1:47" x14ac:dyDescent="0.25">
      <c r="A141" s="1" t="s">
        <v>675</v>
      </c>
      <c r="B141" s="1" t="s">
        <v>646</v>
      </c>
      <c r="C141" s="1" t="s">
        <v>646</v>
      </c>
      <c r="D141" s="1" t="s">
        <v>676</v>
      </c>
      <c r="E141" s="1" t="s">
        <v>38</v>
      </c>
      <c r="F141" s="1" t="s">
        <v>39</v>
      </c>
      <c r="G141" s="2">
        <v>-4780</v>
      </c>
      <c r="H141" s="2">
        <v>5046368.6399999997</v>
      </c>
      <c r="I141" s="1" t="s">
        <v>40</v>
      </c>
      <c r="J141" s="1" t="s">
        <v>49</v>
      </c>
      <c r="K141" s="1" t="s">
        <v>283</v>
      </c>
      <c r="L141" s="1" t="s">
        <v>39</v>
      </c>
      <c r="M141" s="1" t="s">
        <v>677</v>
      </c>
      <c r="P141">
        <v>395390</v>
      </c>
      <c r="Q141" t="s">
        <v>1609</v>
      </c>
      <c r="R141" t="s">
        <v>1257</v>
      </c>
      <c r="S141" t="s">
        <v>1258</v>
      </c>
      <c r="T141" t="s">
        <v>1259</v>
      </c>
      <c r="U141">
        <v>4780</v>
      </c>
      <c r="V141" s="8">
        <f>G141+U141</f>
        <v>0</v>
      </c>
      <c r="W141">
        <v>0</v>
      </c>
      <c r="X141">
        <v>49</v>
      </c>
      <c r="Y141">
        <v>0</v>
      </c>
      <c r="Z141">
        <v>0</v>
      </c>
      <c r="AA141">
        <v>0</v>
      </c>
      <c r="AB141">
        <v>3097506.8</v>
      </c>
      <c r="AC141" s="4">
        <v>46267</v>
      </c>
      <c r="AD141" t="s">
        <v>1803</v>
      </c>
      <c r="AE141" t="s">
        <v>675</v>
      </c>
      <c r="AH141" t="s">
        <v>1614</v>
      </c>
      <c r="AI141" t="s">
        <v>1261</v>
      </c>
      <c r="AJ141" t="s">
        <v>1262</v>
      </c>
      <c r="AK141">
        <v>765244</v>
      </c>
      <c r="AL141" t="s">
        <v>1614</v>
      </c>
      <c r="AM141" t="s">
        <v>1263</v>
      </c>
      <c r="AN141" t="s">
        <v>1804</v>
      </c>
      <c r="AO141" t="s">
        <v>1805</v>
      </c>
      <c r="AP141" s="5">
        <v>46267.692361111112</v>
      </c>
      <c r="AQ141" t="s">
        <v>1266</v>
      </c>
      <c r="AR141" t="s">
        <v>1267</v>
      </c>
      <c r="AS141" t="s">
        <v>1268</v>
      </c>
      <c r="AT141" t="s">
        <v>1269</v>
      </c>
      <c r="AU141" t="s">
        <v>1270</v>
      </c>
    </row>
    <row r="142" spans="1:47" x14ac:dyDescent="0.25">
      <c r="A142" s="1" t="s">
        <v>651</v>
      </c>
      <c r="B142" s="1" t="s">
        <v>648</v>
      </c>
      <c r="C142" s="1" t="s">
        <v>646</v>
      </c>
      <c r="D142" s="1" t="s">
        <v>652</v>
      </c>
      <c r="E142" s="1" t="s">
        <v>38</v>
      </c>
      <c r="F142" s="1" t="s">
        <v>39</v>
      </c>
      <c r="G142" s="2">
        <v>-12922</v>
      </c>
      <c r="H142" s="2">
        <v>4987323.6399999997</v>
      </c>
      <c r="I142" s="1" t="s">
        <v>40</v>
      </c>
      <c r="J142" s="1" t="s">
        <v>49</v>
      </c>
      <c r="K142" s="1" t="s">
        <v>279</v>
      </c>
      <c r="L142" s="1" t="s">
        <v>39</v>
      </c>
      <c r="M142" s="1" t="s">
        <v>653</v>
      </c>
      <c r="P142">
        <v>395390</v>
      </c>
      <c r="Q142" t="s">
        <v>1609</v>
      </c>
      <c r="R142" t="s">
        <v>1257</v>
      </c>
      <c r="S142" t="s">
        <v>1258</v>
      </c>
      <c r="T142" t="s">
        <v>1259</v>
      </c>
      <c r="U142">
        <v>12922</v>
      </c>
      <c r="V142" s="8">
        <f>G142+U142</f>
        <v>0</v>
      </c>
      <c r="W142">
        <v>0</v>
      </c>
      <c r="X142">
        <v>72</v>
      </c>
      <c r="Y142">
        <v>0</v>
      </c>
      <c r="Z142">
        <v>0</v>
      </c>
      <c r="AA142">
        <v>0</v>
      </c>
      <c r="AB142">
        <v>3270170.8</v>
      </c>
      <c r="AC142" s="4">
        <v>46267</v>
      </c>
      <c r="AD142" t="s">
        <v>1769</v>
      </c>
      <c r="AE142" t="s">
        <v>651</v>
      </c>
      <c r="AH142" t="s">
        <v>1564</v>
      </c>
      <c r="AI142" t="s">
        <v>1261</v>
      </c>
      <c r="AJ142" t="s">
        <v>1262</v>
      </c>
      <c r="AK142">
        <v>852648</v>
      </c>
      <c r="AL142" t="s">
        <v>1564</v>
      </c>
      <c r="AM142" t="s">
        <v>1263</v>
      </c>
      <c r="AN142" t="s">
        <v>1770</v>
      </c>
      <c r="AO142" t="s">
        <v>1771</v>
      </c>
      <c r="AP142" s="5">
        <v>46267.692361111112</v>
      </c>
      <c r="AQ142" t="s">
        <v>1266</v>
      </c>
      <c r="AR142" t="s">
        <v>1267</v>
      </c>
      <c r="AS142" t="s">
        <v>1268</v>
      </c>
      <c r="AT142" t="s">
        <v>1269</v>
      </c>
      <c r="AU142" t="s">
        <v>1270</v>
      </c>
    </row>
    <row r="143" spans="1:47" x14ac:dyDescent="0.25">
      <c r="A143" s="1" t="s">
        <v>661</v>
      </c>
      <c r="B143" s="1" t="s">
        <v>658</v>
      </c>
      <c r="C143" s="1" t="s">
        <v>662</v>
      </c>
      <c r="D143" s="1" t="s">
        <v>663</v>
      </c>
      <c r="E143" s="1" t="s">
        <v>38</v>
      </c>
      <c r="F143" s="1" t="s">
        <v>39</v>
      </c>
      <c r="G143" s="2">
        <v>-6886</v>
      </c>
      <c r="H143" s="2">
        <v>5009370.6399999997</v>
      </c>
      <c r="I143" s="1" t="s">
        <v>40</v>
      </c>
      <c r="J143" s="1" t="s">
        <v>49</v>
      </c>
      <c r="K143" s="1" t="s">
        <v>289</v>
      </c>
      <c r="L143" s="1" t="s">
        <v>39</v>
      </c>
      <c r="M143" s="1" t="s">
        <v>664</v>
      </c>
      <c r="P143">
        <v>395390</v>
      </c>
      <c r="Q143" t="s">
        <v>1609</v>
      </c>
      <c r="R143" t="s">
        <v>1257</v>
      </c>
      <c r="S143" t="s">
        <v>1258</v>
      </c>
      <c r="T143" t="s">
        <v>1259</v>
      </c>
      <c r="U143">
        <v>6886</v>
      </c>
      <c r="V143" s="8">
        <f>G143+U143</f>
        <v>0</v>
      </c>
      <c r="W143">
        <v>0</v>
      </c>
      <c r="X143">
        <v>57</v>
      </c>
      <c r="Y143">
        <v>0</v>
      </c>
      <c r="Z143">
        <v>0</v>
      </c>
      <c r="AA143">
        <v>0</v>
      </c>
      <c r="AB143">
        <v>3223042.8</v>
      </c>
      <c r="AC143" s="4">
        <v>46267</v>
      </c>
      <c r="AD143" t="s">
        <v>1778</v>
      </c>
      <c r="AE143" t="s">
        <v>661</v>
      </c>
      <c r="AH143" t="s">
        <v>1627</v>
      </c>
      <c r="AI143" t="s">
        <v>1261</v>
      </c>
      <c r="AJ143" t="s">
        <v>1262</v>
      </c>
      <c r="AK143">
        <v>350050</v>
      </c>
      <c r="AL143" t="s">
        <v>1627</v>
      </c>
      <c r="AM143" t="s">
        <v>1263</v>
      </c>
      <c r="AN143" t="s">
        <v>1779</v>
      </c>
      <c r="AO143" t="s">
        <v>1780</v>
      </c>
      <c r="AP143" s="5">
        <v>46267.692361111112</v>
      </c>
      <c r="AQ143" t="s">
        <v>1266</v>
      </c>
      <c r="AR143" t="s">
        <v>1267</v>
      </c>
      <c r="AS143" t="s">
        <v>1268</v>
      </c>
      <c r="AT143" t="s">
        <v>1269</v>
      </c>
      <c r="AU143" t="s">
        <v>1270</v>
      </c>
    </row>
    <row r="144" spans="1:47" x14ac:dyDescent="0.25">
      <c r="A144" s="1" t="s">
        <v>549</v>
      </c>
      <c r="B144" s="1" t="s">
        <v>515</v>
      </c>
      <c r="C144" s="1" t="s">
        <v>515</v>
      </c>
      <c r="D144" s="1" t="s">
        <v>550</v>
      </c>
      <c r="E144" s="1" t="s">
        <v>38</v>
      </c>
      <c r="F144" s="1" t="s">
        <v>39</v>
      </c>
      <c r="G144" s="2">
        <v>-9819</v>
      </c>
      <c r="H144" s="2">
        <v>4689031.6399999997</v>
      </c>
      <c r="I144" s="1" t="s">
        <v>40</v>
      </c>
      <c r="J144" s="1" t="s">
        <v>49</v>
      </c>
      <c r="K144" s="1" t="s">
        <v>289</v>
      </c>
      <c r="L144" s="1" t="s">
        <v>39</v>
      </c>
      <c r="M144" s="1" t="s">
        <v>551</v>
      </c>
      <c r="P144">
        <v>395390</v>
      </c>
      <c r="Q144" t="s">
        <v>1609</v>
      </c>
      <c r="R144" t="s">
        <v>1257</v>
      </c>
      <c r="S144" t="s">
        <v>1258</v>
      </c>
      <c r="T144" t="s">
        <v>1259</v>
      </c>
      <c r="U144">
        <v>9819</v>
      </c>
      <c r="V144" s="8">
        <f>G144+U144</f>
        <v>0</v>
      </c>
      <c r="W144">
        <v>0</v>
      </c>
      <c r="X144">
        <v>63</v>
      </c>
      <c r="Y144">
        <v>0</v>
      </c>
      <c r="Z144">
        <v>0</v>
      </c>
      <c r="AA144">
        <v>0</v>
      </c>
      <c r="AB144">
        <v>2336006.7999999998</v>
      </c>
      <c r="AC144" s="4">
        <v>46267</v>
      </c>
      <c r="AD144" t="s">
        <v>1929</v>
      </c>
      <c r="AE144" t="s">
        <v>549</v>
      </c>
      <c r="AH144" t="s">
        <v>1627</v>
      </c>
      <c r="AI144" t="s">
        <v>1261</v>
      </c>
      <c r="AJ144" t="s">
        <v>1262</v>
      </c>
      <c r="AK144">
        <v>350050</v>
      </c>
      <c r="AL144" t="s">
        <v>1627</v>
      </c>
      <c r="AM144" t="s">
        <v>1263</v>
      </c>
      <c r="AN144" t="s">
        <v>1930</v>
      </c>
      <c r="AO144" t="s">
        <v>1931</v>
      </c>
      <c r="AP144" s="5">
        <v>46267.692361111112</v>
      </c>
      <c r="AQ144" t="s">
        <v>1266</v>
      </c>
      <c r="AR144" t="s">
        <v>1267</v>
      </c>
      <c r="AS144" t="s">
        <v>1268</v>
      </c>
      <c r="AT144" t="s">
        <v>1269</v>
      </c>
      <c r="AU144" t="s">
        <v>1270</v>
      </c>
    </row>
    <row r="145" spans="1:47" x14ac:dyDescent="0.25">
      <c r="A145" s="1" t="s">
        <v>552</v>
      </c>
      <c r="B145" s="1" t="s">
        <v>515</v>
      </c>
      <c r="C145" s="1" t="s">
        <v>515</v>
      </c>
      <c r="D145" s="1" t="s">
        <v>553</v>
      </c>
      <c r="E145" s="1" t="s">
        <v>38</v>
      </c>
      <c r="F145" s="1" t="s">
        <v>39</v>
      </c>
      <c r="G145" s="2">
        <v>-10699</v>
      </c>
      <c r="H145" s="2">
        <v>4698967.6399999997</v>
      </c>
      <c r="I145" s="1" t="s">
        <v>40</v>
      </c>
      <c r="J145" s="1" t="s">
        <v>49</v>
      </c>
      <c r="K145" s="1" t="s">
        <v>283</v>
      </c>
      <c r="L145" s="1" t="s">
        <v>39</v>
      </c>
      <c r="M145" s="1" t="s">
        <v>554</v>
      </c>
      <c r="P145">
        <v>395390</v>
      </c>
      <c r="Q145" t="s">
        <v>1609</v>
      </c>
      <c r="R145" t="s">
        <v>1257</v>
      </c>
      <c r="S145" t="s">
        <v>1258</v>
      </c>
      <c r="T145" t="s">
        <v>1259</v>
      </c>
      <c r="U145">
        <v>10699</v>
      </c>
      <c r="V145" s="8">
        <f>G145+U145</f>
        <v>0</v>
      </c>
      <c r="W145">
        <v>0</v>
      </c>
      <c r="X145">
        <v>72</v>
      </c>
      <c r="Y145">
        <v>0</v>
      </c>
      <c r="Z145">
        <v>0</v>
      </c>
      <c r="AA145">
        <v>0</v>
      </c>
      <c r="AB145">
        <v>2553082.7999999998</v>
      </c>
      <c r="AC145" s="4">
        <v>46267</v>
      </c>
      <c r="AD145" t="s">
        <v>1883</v>
      </c>
      <c r="AE145" t="s">
        <v>552</v>
      </c>
      <c r="AH145" t="s">
        <v>1614</v>
      </c>
      <c r="AI145" t="s">
        <v>1261</v>
      </c>
      <c r="AJ145" t="s">
        <v>1262</v>
      </c>
      <c r="AK145">
        <v>765244</v>
      </c>
      <c r="AL145" t="s">
        <v>1614</v>
      </c>
      <c r="AM145" t="s">
        <v>1263</v>
      </c>
      <c r="AN145" t="s">
        <v>1884</v>
      </c>
      <c r="AO145" t="s">
        <v>1885</v>
      </c>
      <c r="AP145" s="5">
        <v>46267.692361111112</v>
      </c>
      <c r="AQ145" t="s">
        <v>1266</v>
      </c>
      <c r="AR145" t="s">
        <v>1267</v>
      </c>
      <c r="AS145" t="s">
        <v>1268</v>
      </c>
      <c r="AT145" t="s">
        <v>1269</v>
      </c>
      <c r="AU145" t="s">
        <v>1270</v>
      </c>
    </row>
    <row r="146" spans="1:47" x14ac:dyDescent="0.25">
      <c r="A146" s="1" t="s">
        <v>516</v>
      </c>
      <c r="B146" s="1" t="s">
        <v>491</v>
      </c>
      <c r="C146" s="1" t="s">
        <v>491</v>
      </c>
      <c r="D146" s="1" t="s">
        <v>517</v>
      </c>
      <c r="E146" s="1" t="s">
        <v>38</v>
      </c>
      <c r="F146" s="1" t="s">
        <v>39</v>
      </c>
      <c r="G146" s="2">
        <v>-11811</v>
      </c>
      <c r="H146" s="2">
        <v>4539776.6399999997</v>
      </c>
      <c r="I146" s="1" t="s">
        <v>40</v>
      </c>
      <c r="J146" s="1" t="s">
        <v>49</v>
      </c>
      <c r="K146" s="1" t="s">
        <v>283</v>
      </c>
      <c r="L146" s="1" t="s">
        <v>39</v>
      </c>
      <c r="M146" s="1" t="s">
        <v>518</v>
      </c>
      <c r="P146">
        <v>395390</v>
      </c>
      <c r="Q146" t="s">
        <v>1609</v>
      </c>
      <c r="R146" t="s">
        <v>1257</v>
      </c>
      <c r="S146" t="s">
        <v>1258</v>
      </c>
      <c r="T146" t="s">
        <v>1259</v>
      </c>
      <c r="U146">
        <v>11811</v>
      </c>
      <c r="V146" s="8">
        <f>G146+U146</f>
        <v>0</v>
      </c>
      <c r="W146">
        <v>0</v>
      </c>
      <c r="X146">
        <v>72</v>
      </c>
      <c r="Y146">
        <v>0</v>
      </c>
      <c r="Z146">
        <v>0</v>
      </c>
      <c r="AA146">
        <v>0</v>
      </c>
      <c r="AB146">
        <v>2565467.7999999998</v>
      </c>
      <c r="AC146" s="4">
        <v>46267</v>
      </c>
      <c r="AD146" t="s">
        <v>1880</v>
      </c>
      <c r="AE146" t="s">
        <v>516</v>
      </c>
      <c r="AH146" t="s">
        <v>1614</v>
      </c>
      <c r="AI146" t="s">
        <v>1261</v>
      </c>
      <c r="AJ146" t="s">
        <v>1262</v>
      </c>
      <c r="AK146">
        <v>765244</v>
      </c>
      <c r="AL146" t="s">
        <v>1614</v>
      </c>
      <c r="AM146" t="s">
        <v>1263</v>
      </c>
      <c r="AN146" t="s">
        <v>1881</v>
      </c>
      <c r="AO146" t="s">
        <v>1882</v>
      </c>
      <c r="AP146" s="5">
        <v>46267.692361111112</v>
      </c>
      <c r="AQ146" t="s">
        <v>1266</v>
      </c>
      <c r="AR146" t="s">
        <v>1267</v>
      </c>
      <c r="AS146" t="s">
        <v>1268</v>
      </c>
      <c r="AT146" t="s">
        <v>1269</v>
      </c>
      <c r="AU146" t="s">
        <v>1270</v>
      </c>
    </row>
    <row r="147" spans="1:47" x14ac:dyDescent="0.25">
      <c r="A147" s="1" t="s">
        <v>490</v>
      </c>
      <c r="B147" s="1" t="s">
        <v>479</v>
      </c>
      <c r="C147" s="1" t="s">
        <v>491</v>
      </c>
      <c r="D147" s="1" t="s">
        <v>492</v>
      </c>
      <c r="E147" s="1" t="s">
        <v>38</v>
      </c>
      <c r="F147" s="1" t="s">
        <v>39</v>
      </c>
      <c r="G147" s="2">
        <v>-2664</v>
      </c>
      <c r="H147" s="2">
        <v>4428412.6399999997</v>
      </c>
      <c r="I147" s="1" t="s">
        <v>40</v>
      </c>
      <c r="J147" s="1" t="s">
        <v>49</v>
      </c>
      <c r="K147" s="1" t="s">
        <v>279</v>
      </c>
      <c r="L147" s="1" t="s">
        <v>39</v>
      </c>
      <c r="M147" s="1" t="s">
        <v>493</v>
      </c>
      <c r="P147">
        <v>395390</v>
      </c>
      <c r="Q147" t="s">
        <v>1609</v>
      </c>
      <c r="R147" t="s">
        <v>1257</v>
      </c>
      <c r="S147" t="s">
        <v>1258</v>
      </c>
      <c r="T147" t="s">
        <v>1259</v>
      </c>
      <c r="U147">
        <v>2664</v>
      </c>
      <c r="V147" s="8">
        <f>G147+U147</f>
        <v>0</v>
      </c>
      <c r="W147">
        <v>0</v>
      </c>
      <c r="X147">
        <v>40</v>
      </c>
      <c r="Y147">
        <v>0</v>
      </c>
      <c r="Z147">
        <v>0</v>
      </c>
      <c r="AA147">
        <v>0</v>
      </c>
      <c r="AB147">
        <v>2122198.7999999998</v>
      </c>
      <c r="AC147" s="4">
        <v>46267</v>
      </c>
      <c r="AD147" t="s">
        <v>1959</v>
      </c>
      <c r="AE147" t="s">
        <v>490</v>
      </c>
      <c r="AH147" t="s">
        <v>1564</v>
      </c>
      <c r="AI147" t="s">
        <v>1261</v>
      </c>
      <c r="AJ147" t="s">
        <v>1262</v>
      </c>
      <c r="AK147">
        <v>852648</v>
      </c>
      <c r="AL147" t="s">
        <v>1564</v>
      </c>
      <c r="AM147" t="s">
        <v>1263</v>
      </c>
      <c r="AN147" t="s">
        <v>1960</v>
      </c>
      <c r="AO147" t="s">
        <v>1961</v>
      </c>
      <c r="AP147" s="5">
        <v>46267.692361111112</v>
      </c>
      <c r="AQ147" t="s">
        <v>1266</v>
      </c>
      <c r="AR147" t="s">
        <v>1267</v>
      </c>
      <c r="AS147" t="s">
        <v>1268</v>
      </c>
      <c r="AT147" t="s">
        <v>1269</v>
      </c>
      <c r="AU147" t="s">
        <v>1270</v>
      </c>
    </row>
    <row r="148" spans="1:47" x14ac:dyDescent="0.25">
      <c r="A148" s="1" t="s">
        <v>497</v>
      </c>
      <c r="B148" s="1" t="s">
        <v>498</v>
      </c>
      <c r="C148" s="1" t="s">
        <v>498</v>
      </c>
      <c r="D148" s="1" t="s">
        <v>499</v>
      </c>
      <c r="E148" s="1" t="s">
        <v>38</v>
      </c>
      <c r="F148" s="1" t="s">
        <v>39</v>
      </c>
      <c r="G148" s="2">
        <v>-7231</v>
      </c>
      <c r="H148" s="2">
        <v>4434538.6399999997</v>
      </c>
      <c r="I148" s="1" t="s">
        <v>40</v>
      </c>
      <c r="J148" s="1" t="s">
        <v>49</v>
      </c>
      <c r="K148" s="1" t="s">
        <v>283</v>
      </c>
      <c r="L148" s="1" t="s">
        <v>39</v>
      </c>
      <c r="M148" s="1" t="s">
        <v>500</v>
      </c>
      <c r="P148">
        <v>395390</v>
      </c>
      <c r="Q148" t="s">
        <v>1609</v>
      </c>
      <c r="R148" t="s">
        <v>1257</v>
      </c>
      <c r="S148" t="s">
        <v>1258</v>
      </c>
      <c r="T148" t="s">
        <v>1259</v>
      </c>
      <c r="U148">
        <v>7231</v>
      </c>
      <c r="V148" s="8">
        <f>G148+U148</f>
        <v>0</v>
      </c>
      <c r="W148">
        <v>0</v>
      </c>
      <c r="X148">
        <v>57</v>
      </c>
      <c r="Y148">
        <v>0</v>
      </c>
      <c r="Z148">
        <v>0</v>
      </c>
      <c r="AA148">
        <v>0</v>
      </c>
      <c r="AB148">
        <v>2508679.7999999998</v>
      </c>
      <c r="AC148" s="4">
        <v>46267</v>
      </c>
      <c r="AD148" t="s">
        <v>1902</v>
      </c>
      <c r="AE148" t="s">
        <v>497</v>
      </c>
      <c r="AH148" t="s">
        <v>1614</v>
      </c>
      <c r="AI148" t="s">
        <v>1261</v>
      </c>
      <c r="AJ148" t="s">
        <v>1262</v>
      </c>
      <c r="AK148">
        <v>765244</v>
      </c>
      <c r="AL148" t="s">
        <v>1614</v>
      </c>
      <c r="AM148" t="s">
        <v>1263</v>
      </c>
      <c r="AN148" t="s">
        <v>1903</v>
      </c>
      <c r="AO148" t="s">
        <v>1904</v>
      </c>
      <c r="AP148" s="5">
        <v>46267.692361111112</v>
      </c>
      <c r="AQ148" t="s">
        <v>1266</v>
      </c>
      <c r="AR148" t="s">
        <v>1267</v>
      </c>
      <c r="AS148" t="s">
        <v>1268</v>
      </c>
      <c r="AT148" t="s">
        <v>1269</v>
      </c>
      <c r="AU148" t="s">
        <v>1270</v>
      </c>
    </row>
    <row r="149" spans="1:47" x14ac:dyDescent="0.25">
      <c r="A149" s="1" t="s">
        <v>487</v>
      </c>
      <c r="B149" s="1" t="s">
        <v>479</v>
      </c>
      <c r="C149" s="1" t="s">
        <v>479</v>
      </c>
      <c r="D149" s="1" t="s">
        <v>488</v>
      </c>
      <c r="E149" s="1" t="s">
        <v>38</v>
      </c>
      <c r="F149" s="1" t="s">
        <v>39</v>
      </c>
      <c r="G149" s="2">
        <v>-10668</v>
      </c>
      <c r="H149" s="2">
        <v>4417744.6399999997</v>
      </c>
      <c r="I149" s="1" t="s">
        <v>40</v>
      </c>
      <c r="J149" s="1" t="s">
        <v>49</v>
      </c>
      <c r="K149" s="1" t="s">
        <v>283</v>
      </c>
      <c r="L149" s="1" t="s">
        <v>39</v>
      </c>
      <c r="M149" s="1" t="s">
        <v>489</v>
      </c>
      <c r="P149">
        <v>395390</v>
      </c>
      <c r="Q149" t="s">
        <v>1609</v>
      </c>
      <c r="R149" t="s">
        <v>1257</v>
      </c>
      <c r="S149" t="s">
        <v>1258</v>
      </c>
      <c r="T149" t="s">
        <v>1259</v>
      </c>
      <c r="U149">
        <v>10668</v>
      </c>
      <c r="V149" s="8">
        <f>G149+U149</f>
        <v>0</v>
      </c>
      <c r="W149">
        <v>0</v>
      </c>
      <c r="X149">
        <v>72</v>
      </c>
      <c r="Y149">
        <v>0</v>
      </c>
      <c r="Z149">
        <v>0</v>
      </c>
      <c r="AA149">
        <v>0</v>
      </c>
      <c r="AB149">
        <v>2106372.7999999998</v>
      </c>
      <c r="AC149" s="4">
        <v>46267</v>
      </c>
      <c r="AD149" t="s">
        <v>1965</v>
      </c>
      <c r="AE149" t="s">
        <v>487</v>
      </c>
      <c r="AH149" t="s">
        <v>1614</v>
      </c>
      <c r="AI149" t="s">
        <v>1261</v>
      </c>
      <c r="AJ149" t="s">
        <v>1262</v>
      </c>
      <c r="AK149">
        <v>765244</v>
      </c>
      <c r="AL149" t="s">
        <v>1614</v>
      </c>
      <c r="AM149" t="s">
        <v>1263</v>
      </c>
      <c r="AN149" t="s">
        <v>1966</v>
      </c>
      <c r="AO149" t="s">
        <v>1967</v>
      </c>
      <c r="AP149" s="5">
        <v>46267.692361111112</v>
      </c>
      <c r="AQ149" t="s">
        <v>1266</v>
      </c>
      <c r="AR149" t="s">
        <v>1267</v>
      </c>
      <c r="AS149" t="s">
        <v>1268</v>
      </c>
      <c r="AT149" t="s">
        <v>1269</v>
      </c>
      <c r="AU149" t="s">
        <v>1270</v>
      </c>
    </row>
    <row r="150" spans="1:47" x14ac:dyDescent="0.25">
      <c r="A150" s="1" t="s">
        <v>460</v>
      </c>
      <c r="B150" s="1" t="s">
        <v>461</v>
      </c>
      <c r="C150" s="1" t="s">
        <v>461</v>
      </c>
      <c r="D150" s="1" t="s">
        <v>462</v>
      </c>
      <c r="E150" s="1" t="s">
        <v>38</v>
      </c>
      <c r="F150" s="1" t="s">
        <v>39</v>
      </c>
      <c r="G150" s="2">
        <v>-73602</v>
      </c>
      <c r="H150" s="2">
        <v>4180991.64</v>
      </c>
      <c r="I150" s="1" t="s">
        <v>40</v>
      </c>
      <c r="J150" s="1" t="s">
        <v>49</v>
      </c>
      <c r="K150" s="1" t="s">
        <v>463</v>
      </c>
      <c r="L150" s="1" t="s">
        <v>39</v>
      </c>
      <c r="M150" s="1" t="s">
        <v>464</v>
      </c>
      <c r="P150">
        <v>1331783</v>
      </c>
      <c r="Q150" t="s">
        <v>1715</v>
      </c>
      <c r="R150" t="s">
        <v>1257</v>
      </c>
      <c r="S150" t="s">
        <v>1258</v>
      </c>
      <c r="T150" t="s">
        <v>1259</v>
      </c>
      <c r="U150">
        <v>73602</v>
      </c>
      <c r="V150" s="8">
        <f>G150+U150</f>
        <v>0</v>
      </c>
      <c r="W150">
        <v>0</v>
      </c>
      <c r="X150">
        <v>136</v>
      </c>
      <c r="Y150">
        <v>0</v>
      </c>
      <c r="Z150">
        <v>1</v>
      </c>
      <c r="AA150">
        <v>0</v>
      </c>
      <c r="AB150">
        <v>73939.97</v>
      </c>
      <c r="AC150" s="4">
        <v>46267</v>
      </c>
      <c r="AD150" t="s">
        <v>1979</v>
      </c>
      <c r="AE150" t="s">
        <v>460</v>
      </c>
      <c r="AH150" t="s">
        <v>1980</v>
      </c>
      <c r="AI150" t="s">
        <v>1261</v>
      </c>
      <c r="AJ150" t="s">
        <v>1262</v>
      </c>
      <c r="AK150">
        <v>4037923</v>
      </c>
      <c r="AL150" t="s">
        <v>1980</v>
      </c>
      <c r="AM150" t="s">
        <v>1263</v>
      </c>
      <c r="AN150" t="s">
        <v>1981</v>
      </c>
      <c r="AO150" t="s">
        <v>464</v>
      </c>
      <c r="AP150" s="5">
        <v>46267.695833333331</v>
      </c>
      <c r="AQ150" t="s">
        <v>1266</v>
      </c>
      <c r="AS150" t="s">
        <v>1268</v>
      </c>
      <c r="AT150" t="s">
        <v>1269</v>
      </c>
      <c r="AU150" t="s">
        <v>1270</v>
      </c>
    </row>
    <row r="151" spans="1:47" x14ac:dyDescent="0.25">
      <c r="A151" s="1" t="s">
        <v>448</v>
      </c>
      <c r="B151" s="1" t="s">
        <v>449</v>
      </c>
      <c r="C151" s="1" t="s">
        <v>449</v>
      </c>
      <c r="D151" s="1" t="s">
        <v>450</v>
      </c>
      <c r="E151" s="1" t="s">
        <v>38</v>
      </c>
      <c r="F151" s="1" t="s">
        <v>39</v>
      </c>
      <c r="G151" s="2">
        <v>-2295</v>
      </c>
      <c r="H151" s="2">
        <v>4178030.64</v>
      </c>
      <c r="I151" s="1" t="s">
        <v>40</v>
      </c>
      <c r="J151" s="1" t="s">
        <v>41</v>
      </c>
      <c r="K151" s="1" t="s">
        <v>451</v>
      </c>
      <c r="L151" s="1" t="s">
        <v>39</v>
      </c>
      <c r="M151" s="1" t="s">
        <v>39</v>
      </c>
      <c r="P151">
        <v>784176</v>
      </c>
      <c r="Q151" t="s">
        <v>1256</v>
      </c>
      <c r="R151" t="s">
        <v>1257</v>
      </c>
      <c r="S151" t="s">
        <v>1258</v>
      </c>
      <c r="T151" t="s">
        <v>1259</v>
      </c>
      <c r="U151">
        <v>2295</v>
      </c>
      <c r="V151" s="8">
        <f>G151+U151</f>
        <v>0</v>
      </c>
      <c r="W151">
        <v>0</v>
      </c>
      <c r="X151">
        <v>10</v>
      </c>
      <c r="Y151">
        <v>0</v>
      </c>
      <c r="Z151">
        <v>1</v>
      </c>
      <c r="AA151">
        <v>0</v>
      </c>
      <c r="AB151">
        <v>115113.97500000001</v>
      </c>
      <c r="AC151" s="4">
        <v>46267</v>
      </c>
      <c r="AD151" t="s">
        <v>1989</v>
      </c>
      <c r="AE151" t="s">
        <v>448</v>
      </c>
      <c r="AI151" t="s">
        <v>1261</v>
      </c>
      <c r="AJ151" t="s">
        <v>1262</v>
      </c>
      <c r="AK151">
        <v>712567</v>
      </c>
      <c r="AM151" t="s">
        <v>1263</v>
      </c>
      <c r="AN151" t="s">
        <v>1990</v>
      </c>
      <c r="AO151" t="s">
        <v>1991</v>
      </c>
      <c r="AP151" s="5">
        <v>46267.698611111111</v>
      </c>
      <c r="AQ151" t="s">
        <v>1266</v>
      </c>
      <c r="AR151" t="s">
        <v>1267</v>
      </c>
      <c r="AS151" t="s">
        <v>1268</v>
      </c>
      <c r="AT151" t="s">
        <v>1269</v>
      </c>
      <c r="AU151" t="s">
        <v>1270</v>
      </c>
    </row>
    <row r="152" spans="1:47" x14ac:dyDescent="0.25">
      <c r="A152" s="1" t="s">
        <v>413</v>
      </c>
      <c r="B152" s="1" t="s">
        <v>414</v>
      </c>
      <c r="C152" s="1" t="s">
        <v>414</v>
      </c>
      <c r="D152" s="1" t="s">
        <v>415</v>
      </c>
      <c r="E152" s="1" t="s">
        <v>38</v>
      </c>
      <c r="F152" s="1" t="s">
        <v>39</v>
      </c>
      <c r="G152" s="2">
        <v>-5236</v>
      </c>
      <c r="H152" s="2">
        <v>4055817.64</v>
      </c>
      <c r="I152" s="1" t="s">
        <v>40</v>
      </c>
      <c r="J152" s="1" t="s">
        <v>49</v>
      </c>
      <c r="K152" s="1" t="s">
        <v>283</v>
      </c>
      <c r="L152" s="1" t="s">
        <v>39</v>
      </c>
      <c r="M152" s="1" t="s">
        <v>416</v>
      </c>
      <c r="P152">
        <v>395390</v>
      </c>
      <c r="Q152" t="s">
        <v>1609</v>
      </c>
      <c r="R152" t="s">
        <v>1257</v>
      </c>
      <c r="S152" t="s">
        <v>1258</v>
      </c>
      <c r="T152" t="s">
        <v>1259</v>
      </c>
      <c r="U152">
        <v>5236</v>
      </c>
      <c r="V152" s="8">
        <f>G152+U152</f>
        <v>0</v>
      </c>
      <c r="W152">
        <v>0</v>
      </c>
      <c r="X152">
        <v>57</v>
      </c>
      <c r="Y152">
        <v>0</v>
      </c>
      <c r="Z152">
        <v>0</v>
      </c>
      <c r="AA152">
        <v>0</v>
      </c>
      <c r="AB152">
        <v>1446281</v>
      </c>
      <c r="AC152" s="4">
        <v>46267</v>
      </c>
      <c r="AD152" t="s">
        <v>2025</v>
      </c>
      <c r="AE152" t="s">
        <v>413</v>
      </c>
      <c r="AH152" t="s">
        <v>1614</v>
      </c>
      <c r="AI152" t="s">
        <v>1261</v>
      </c>
      <c r="AJ152" t="s">
        <v>1262</v>
      </c>
      <c r="AK152">
        <v>765244</v>
      </c>
      <c r="AL152" t="s">
        <v>1614</v>
      </c>
      <c r="AM152" t="s">
        <v>1263</v>
      </c>
      <c r="AN152" t="s">
        <v>2026</v>
      </c>
      <c r="AO152" t="s">
        <v>2027</v>
      </c>
      <c r="AP152" s="5">
        <v>46267.705555555556</v>
      </c>
      <c r="AQ152" t="s">
        <v>1266</v>
      </c>
      <c r="AR152" t="s">
        <v>1267</v>
      </c>
      <c r="AS152" t="s">
        <v>1268</v>
      </c>
      <c r="AT152" t="s">
        <v>1269</v>
      </c>
      <c r="AU152" t="s">
        <v>1270</v>
      </c>
    </row>
    <row r="153" spans="1:47" x14ac:dyDescent="0.25">
      <c r="A153" s="1" t="s">
        <v>380</v>
      </c>
      <c r="B153" s="1" t="s">
        <v>381</v>
      </c>
      <c r="C153" s="1" t="s">
        <v>381</v>
      </c>
      <c r="D153" s="1" t="s">
        <v>382</v>
      </c>
      <c r="E153" s="1" t="s">
        <v>38</v>
      </c>
      <c r="F153" s="1" t="s">
        <v>39</v>
      </c>
      <c r="G153" s="2">
        <v>-11282</v>
      </c>
      <c r="H153" s="2">
        <v>3977338.64</v>
      </c>
      <c r="I153" s="1" t="s">
        <v>40</v>
      </c>
      <c r="J153" s="1" t="s">
        <v>49</v>
      </c>
      <c r="K153" s="1" t="s">
        <v>283</v>
      </c>
      <c r="L153" s="1" t="s">
        <v>39</v>
      </c>
      <c r="M153" s="1" t="s">
        <v>383</v>
      </c>
      <c r="P153">
        <v>395390</v>
      </c>
      <c r="Q153" t="s">
        <v>1609</v>
      </c>
      <c r="R153" t="s">
        <v>1257</v>
      </c>
      <c r="S153" t="s">
        <v>1258</v>
      </c>
      <c r="T153" t="s">
        <v>1259</v>
      </c>
      <c r="U153">
        <v>11282</v>
      </c>
      <c r="V153" s="8">
        <f>G153+U153</f>
        <v>0</v>
      </c>
      <c r="W153">
        <v>0</v>
      </c>
      <c r="X153">
        <v>72</v>
      </c>
      <c r="Y153">
        <v>0</v>
      </c>
      <c r="Z153">
        <v>0</v>
      </c>
      <c r="AA153">
        <v>0</v>
      </c>
      <c r="AB153">
        <v>863593.8</v>
      </c>
      <c r="AC153" s="4">
        <v>46267</v>
      </c>
      <c r="AD153" t="s">
        <v>2049</v>
      </c>
      <c r="AE153" t="s">
        <v>380</v>
      </c>
      <c r="AH153" t="s">
        <v>1614</v>
      </c>
      <c r="AI153" t="s">
        <v>1261</v>
      </c>
      <c r="AJ153" t="s">
        <v>1262</v>
      </c>
      <c r="AK153">
        <v>765244</v>
      </c>
      <c r="AL153" t="s">
        <v>1614</v>
      </c>
      <c r="AM153" t="s">
        <v>1263</v>
      </c>
      <c r="AN153" t="s">
        <v>2050</v>
      </c>
      <c r="AO153" t="s">
        <v>2051</v>
      </c>
      <c r="AP153" s="5">
        <v>46267.705555555556</v>
      </c>
      <c r="AQ153" t="s">
        <v>1266</v>
      </c>
      <c r="AR153" t="s">
        <v>1267</v>
      </c>
      <c r="AS153" t="s">
        <v>1268</v>
      </c>
      <c r="AT153" t="s">
        <v>1269</v>
      </c>
      <c r="AU153" t="s">
        <v>1270</v>
      </c>
    </row>
    <row r="154" spans="1:47" x14ac:dyDescent="0.25">
      <c r="A154" s="1" t="s">
        <v>375</v>
      </c>
      <c r="B154" s="1" t="s">
        <v>376</v>
      </c>
      <c r="C154" s="1" t="s">
        <v>377</v>
      </c>
      <c r="D154" s="1" t="s">
        <v>378</v>
      </c>
      <c r="E154" s="1" t="s">
        <v>38</v>
      </c>
      <c r="F154" s="1" t="s">
        <v>39</v>
      </c>
      <c r="G154" s="2">
        <v>-387</v>
      </c>
      <c r="H154" s="2">
        <v>3976888.64</v>
      </c>
      <c r="I154" s="1" t="s">
        <v>40</v>
      </c>
      <c r="J154" s="1" t="s">
        <v>49</v>
      </c>
      <c r="K154" s="1" t="s">
        <v>279</v>
      </c>
      <c r="L154" s="1" t="s">
        <v>39</v>
      </c>
      <c r="M154" s="1" t="s">
        <v>379</v>
      </c>
      <c r="P154">
        <v>395390</v>
      </c>
      <c r="Q154" t="s">
        <v>1609</v>
      </c>
      <c r="R154" t="s">
        <v>1257</v>
      </c>
      <c r="S154" t="s">
        <v>1258</v>
      </c>
      <c r="T154" t="s">
        <v>1259</v>
      </c>
      <c r="U154">
        <v>387</v>
      </c>
      <c r="V154" s="8">
        <f>G154+U154</f>
        <v>0</v>
      </c>
      <c r="W154">
        <v>0</v>
      </c>
      <c r="X154">
        <v>10</v>
      </c>
      <c r="Y154">
        <v>0</v>
      </c>
      <c r="Z154">
        <v>0</v>
      </c>
      <c r="AA154">
        <v>0</v>
      </c>
      <c r="AB154">
        <v>796756.8</v>
      </c>
      <c r="AC154" s="4">
        <v>46267</v>
      </c>
      <c r="AD154" t="s">
        <v>2052</v>
      </c>
      <c r="AE154" t="s">
        <v>375</v>
      </c>
      <c r="AH154" t="s">
        <v>1564</v>
      </c>
      <c r="AI154" t="s">
        <v>1261</v>
      </c>
      <c r="AJ154" t="s">
        <v>1262</v>
      </c>
      <c r="AK154">
        <v>852648</v>
      </c>
      <c r="AL154" t="s">
        <v>1564</v>
      </c>
      <c r="AM154" t="s">
        <v>1263</v>
      </c>
      <c r="AN154" t="s">
        <v>2053</v>
      </c>
      <c r="AO154" t="s">
        <v>2054</v>
      </c>
      <c r="AP154" s="5">
        <v>46267.706250000003</v>
      </c>
      <c r="AQ154" t="s">
        <v>1266</v>
      </c>
      <c r="AR154" t="s">
        <v>1267</v>
      </c>
      <c r="AS154" t="s">
        <v>1268</v>
      </c>
      <c r="AT154" t="s">
        <v>1269</v>
      </c>
      <c r="AU154" t="s">
        <v>1270</v>
      </c>
    </row>
    <row r="155" spans="1:47" x14ac:dyDescent="0.25">
      <c r="A155" s="1" t="s">
        <v>337</v>
      </c>
      <c r="B155" s="1" t="s">
        <v>338</v>
      </c>
      <c r="C155" s="1" t="s">
        <v>338</v>
      </c>
      <c r="D155" s="1" t="s">
        <v>339</v>
      </c>
      <c r="E155" s="1" t="s">
        <v>38</v>
      </c>
      <c r="F155" s="1" t="s">
        <v>39</v>
      </c>
      <c r="G155" s="2">
        <v>-12531</v>
      </c>
      <c r="H155" s="2">
        <v>3896486.64</v>
      </c>
      <c r="I155" s="1" t="s">
        <v>40</v>
      </c>
      <c r="J155" s="1" t="s">
        <v>49</v>
      </c>
      <c r="K155" s="1" t="s">
        <v>283</v>
      </c>
      <c r="L155" s="1" t="s">
        <v>39</v>
      </c>
      <c r="M155" s="1" t="s">
        <v>340</v>
      </c>
      <c r="P155">
        <v>395390</v>
      </c>
      <c r="Q155" t="s">
        <v>1609</v>
      </c>
      <c r="R155" t="s">
        <v>1257</v>
      </c>
      <c r="S155" t="s">
        <v>1258</v>
      </c>
      <c r="T155" t="s">
        <v>1259</v>
      </c>
      <c r="U155">
        <v>12531</v>
      </c>
      <c r="V155" s="8">
        <f>G155+U155</f>
        <v>0</v>
      </c>
      <c r="W155">
        <v>0</v>
      </c>
      <c r="X155">
        <v>72</v>
      </c>
      <c r="Y155">
        <v>0</v>
      </c>
      <c r="Z155">
        <v>0</v>
      </c>
      <c r="AA155">
        <v>0</v>
      </c>
      <c r="AB155">
        <v>586474.80000000005</v>
      </c>
      <c r="AC155" s="4">
        <v>46267</v>
      </c>
      <c r="AD155" t="s">
        <v>2086</v>
      </c>
      <c r="AE155" t="s">
        <v>337</v>
      </c>
      <c r="AH155" t="s">
        <v>1614</v>
      </c>
      <c r="AI155" t="s">
        <v>1261</v>
      </c>
      <c r="AJ155" t="s">
        <v>1262</v>
      </c>
      <c r="AK155">
        <v>765244</v>
      </c>
      <c r="AL155" t="s">
        <v>1614</v>
      </c>
      <c r="AM155" t="s">
        <v>1263</v>
      </c>
      <c r="AN155" t="s">
        <v>2087</v>
      </c>
      <c r="AO155" t="s">
        <v>2088</v>
      </c>
      <c r="AP155" s="5">
        <v>46267.715277777781</v>
      </c>
      <c r="AQ155" t="s">
        <v>1266</v>
      </c>
      <c r="AR155" t="s">
        <v>1267</v>
      </c>
      <c r="AS155" t="s">
        <v>1268</v>
      </c>
      <c r="AT155" t="s">
        <v>1269</v>
      </c>
      <c r="AU155" t="s">
        <v>1270</v>
      </c>
    </row>
    <row r="156" spans="1:47" x14ac:dyDescent="0.25">
      <c r="A156" s="1" t="s">
        <v>332</v>
      </c>
      <c r="B156" s="1" t="s">
        <v>333</v>
      </c>
      <c r="C156" s="1" t="s">
        <v>334</v>
      </c>
      <c r="D156" s="1" t="s">
        <v>335</v>
      </c>
      <c r="E156" s="1" t="s">
        <v>38</v>
      </c>
      <c r="F156" s="1" t="s">
        <v>39</v>
      </c>
      <c r="G156" s="2">
        <v>-6316</v>
      </c>
      <c r="H156" s="2">
        <v>3890107.64</v>
      </c>
      <c r="I156" s="1" t="s">
        <v>40</v>
      </c>
      <c r="J156" s="1" t="s">
        <v>49</v>
      </c>
      <c r="K156" s="1" t="s">
        <v>279</v>
      </c>
      <c r="L156" s="1" t="s">
        <v>39</v>
      </c>
      <c r="M156" s="1" t="s">
        <v>336</v>
      </c>
      <c r="P156">
        <v>395390</v>
      </c>
      <c r="Q156" t="s">
        <v>1609</v>
      </c>
      <c r="R156" t="s">
        <v>1257</v>
      </c>
      <c r="S156" t="s">
        <v>1258</v>
      </c>
      <c r="T156" t="s">
        <v>1259</v>
      </c>
      <c r="U156">
        <v>6316</v>
      </c>
      <c r="V156" s="8">
        <f>G156+U156</f>
        <v>0</v>
      </c>
      <c r="W156">
        <v>0</v>
      </c>
      <c r="X156">
        <v>57</v>
      </c>
      <c r="Y156">
        <v>0</v>
      </c>
      <c r="Z156">
        <v>0</v>
      </c>
      <c r="AA156">
        <v>0</v>
      </c>
      <c r="AB156">
        <v>564539.80000000005</v>
      </c>
      <c r="AC156" s="4">
        <v>46267</v>
      </c>
      <c r="AD156" t="s">
        <v>2089</v>
      </c>
      <c r="AE156" t="s">
        <v>332</v>
      </c>
      <c r="AH156" t="s">
        <v>1564</v>
      </c>
      <c r="AI156" t="s">
        <v>1261</v>
      </c>
      <c r="AJ156" t="s">
        <v>1262</v>
      </c>
      <c r="AK156">
        <v>852648</v>
      </c>
      <c r="AL156" t="s">
        <v>1564</v>
      </c>
      <c r="AM156" t="s">
        <v>1263</v>
      </c>
      <c r="AN156" t="s">
        <v>2090</v>
      </c>
      <c r="AO156" t="s">
        <v>2091</v>
      </c>
      <c r="AP156" s="5">
        <v>46267.715277777781</v>
      </c>
      <c r="AQ156" t="s">
        <v>1266</v>
      </c>
      <c r="AR156" t="s">
        <v>1267</v>
      </c>
      <c r="AS156" t="s">
        <v>1268</v>
      </c>
      <c r="AT156" t="s">
        <v>1269</v>
      </c>
      <c r="AU156" t="s">
        <v>1270</v>
      </c>
    </row>
    <row r="157" spans="1:47" x14ac:dyDescent="0.25">
      <c r="A157" s="1" t="s">
        <v>271</v>
      </c>
      <c r="B157" s="1" t="s">
        <v>272</v>
      </c>
      <c r="C157" s="1" t="s">
        <v>272</v>
      </c>
      <c r="D157" s="1" t="s">
        <v>273</v>
      </c>
      <c r="E157" s="1" t="s">
        <v>38</v>
      </c>
      <c r="F157" s="1" t="s">
        <v>39</v>
      </c>
      <c r="G157" s="2">
        <v>-2000</v>
      </c>
      <c r="H157" s="2">
        <v>3802550.64</v>
      </c>
      <c r="I157" s="1" t="s">
        <v>40</v>
      </c>
      <c r="J157" s="1" t="s">
        <v>41</v>
      </c>
      <c r="K157" s="1" t="s">
        <v>274</v>
      </c>
      <c r="L157" s="1" t="s">
        <v>39</v>
      </c>
      <c r="M157" s="1" t="s">
        <v>39</v>
      </c>
      <c r="P157">
        <v>520420</v>
      </c>
      <c r="Q157" t="s">
        <v>1392</v>
      </c>
      <c r="R157" t="s">
        <v>1286</v>
      </c>
      <c r="T157" t="s">
        <v>1259</v>
      </c>
      <c r="U157">
        <v>2000</v>
      </c>
      <c r="V157" s="8">
        <f>G157+U157</f>
        <v>0</v>
      </c>
      <c r="W157">
        <v>0</v>
      </c>
      <c r="X157">
        <v>10</v>
      </c>
      <c r="Y157">
        <v>2</v>
      </c>
      <c r="Z157">
        <v>0</v>
      </c>
      <c r="AA157">
        <v>0</v>
      </c>
      <c r="AB157">
        <v>37435.224000000002</v>
      </c>
      <c r="AC157" s="4">
        <v>46267</v>
      </c>
      <c r="AD157" t="s">
        <v>2138</v>
      </c>
      <c r="AE157" t="s">
        <v>271</v>
      </c>
      <c r="AI157" t="s">
        <v>1261</v>
      </c>
      <c r="AJ157" t="s">
        <v>1262</v>
      </c>
      <c r="AK157">
        <v>520420</v>
      </c>
      <c r="AM157" t="s">
        <v>1263</v>
      </c>
      <c r="AN157" t="s">
        <v>2139</v>
      </c>
      <c r="AO157" t="s">
        <v>2140</v>
      </c>
      <c r="AP157" s="5">
        <v>46267.716666666667</v>
      </c>
      <c r="AQ157" t="s">
        <v>1266</v>
      </c>
      <c r="AS157" t="s">
        <v>1268</v>
      </c>
      <c r="AT157" t="s">
        <v>1269</v>
      </c>
      <c r="AU157" t="s">
        <v>1270</v>
      </c>
    </row>
    <row r="158" spans="1:47" x14ac:dyDescent="0.25">
      <c r="A158" s="1" t="s">
        <v>263</v>
      </c>
      <c r="B158" s="1" t="s">
        <v>264</v>
      </c>
      <c r="C158" s="1" t="s">
        <v>264</v>
      </c>
      <c r="D158" s="1" t="s">
        <v>265</v>
      </c>
      <c r="E158" s="1" t="s">
        <v>38</v>
      </c>
      <c r="F158" s="1" t="s">
        <v>39</v>
      </c>
      <c r="G158" s="2">
        <v>-19300</v>
      </c>
      <c r="H158" s="2">
        <v>3782977.64</v>
      </c>
      <c r="I158" s="1" t="s">
        <v>40</v>
      </c>
      <c r="J158" s="1" t="s">
        <v>41</v>
      </c>
      <c r="K158" s="1" t="s">
        <v>266</v>
      </c>
      <c r="L158" s="1" t="s">
        <v>39</v>
      </c>
      <c r="M158" s="1" t="s">
        <v>39</v>
      </c>
      <c r="O158">
        <v>756756</v>
      </c>
      <c r="P158">
        <v>254721638898</v>
      </c>
      <c r="Q158" t="s">
        <v>2149</v>
      </c>
      <c r="R158" t="s">
        <v>1386</v>
      </c>
      <c r="T158" t="s">
        <v>1259</v>
      </c>
      <c r="U158">
        <v>19300</v>
      </c>
      <c r="V158" s="8">
        <f>G158+U158</f>
        <v>0</v>
      </c>
      <c r="W158">
        <v>0</v>
      </c>
      <c r="X158">
        <v>15</v>
      </c>
      <c r="Y158">
        <v>0</v>
      </c>
      <c r="Z158">
        <v>0</v>
      </c>
      <c r="AA158">
        <v>0</v>
      </c>
      <c r="AB158">
        <v>14361</v>
      </c>
      <c r="AC158" s="4">
        <v>46267</v>
      </c>
      <c r="AD158" t="s">
        <v>2150</v>
      </c>
      <c r="AE158" t="s">
        <v>263</v>
      </c>
      <c r="AI158" t="s">
        <v>1261</v>
      </c>
      <c r="AJ158" t="s">
        <v>1262</v>
      </c>
      <c r="AK158">
        <v>5681718</v>
      </c>
      <c r="AM158" t="s">
        <v>1263</v>
      </c>
      <c r="AN158" t="s">
        <v>2151</v>
      </c>
      <c r="AO158" t="s">
        <v>2151</v>
      </c>
      <c r="AP158" s="5">
        <v>46267.725694444445</v>
      </c>
      <c r="AQ158" t="s">
        <v>1266</v>
      </c>
      <c r="AR158" t="s">
        <v>1293</v>
      </c>
      <c r="AS158" t="s">
        <v>1268</v>
      </c>
      <c r="AT158" t="s">
        <v>1269</v>
      </c>
      <c r="AU158" t="s">
        <v>1270</v>
      </c>
    </row>
    <row r="159" spans="1:47" x14ac:dyDescent="0.25">
      <c r="A159" s="1" t="s">
        <v>249</v>
      </c>
      <c r="B159" s="1" t="s">
        <v>250</v>
      </c>
      <c r="C159" s="1" t="s">
        <v>250</v>
      </c>
      <c r="D159" s="1" t="s">
        <v>251</v>
      </c>
      <c r="E159" s="1" t="s">
        <v>38</v>
      </c>
      <c r="F159" s="1" t="s">
        <v>39</v>
      </c>
      <c r="G159" s="2">
        <v>-2990</v>
      </c>
      <c r="H159" s="2">
        <v>3760043.64</v>
      </c>
      <c r="I159" s="1" t="s">
        <v>40</v>
      </c>
      <c r="J159" s="1" t="s">
        <v>41</v>
      </c>
      <c r="K159" s="1" t="s">
        <v>252</v>
      </c>
      <c r="L159" s="1" t="s">
        <v>39</v>
      </c>
      <c r="M159" s="1" t="s">
        <v>39</v>
      </c>
      <c r="P159">
        <v>784176</v>
      </c>
      <c r="Q159" t="s">
        <v>1256</v>
      </c>
      <c r="R159" t="s">
        <v>1257</v>
      </c>
      <c r="S159" t="s">
        <v>1258</v>
      </c>
      <c r="T159" t="s">
        <v>1259</v>
      </c>
      <c r="U159">
        <v>2990</v>
      </c>
      <c r="V159" s="8">
        <f>G159+U159</f>
        <v>0</v>
      </c>
      <c r="W159">
        <v>0</v>
      </c>
      <c r="X159">
        <v>15</v>
      </c>
      <c r="Y159">
        <v>0</v>
      </c>
      <c r="Z159">
        <v>1</v>
      </c>
      <c r="AA159">
        <v>0</v>
      </c>
      <c r="AB159">
        <v>108711.97500000001</v>
      </c>
      <c r="AC159" s="4">
        <v>46267</v>
      </c>
      <c r="AD159" t="s">
        <v>2157</v>
      </c>
      <c r="AE159" t="s">
        <v>249</v>
      </c>
      <c r="AI159" t="s">
        <v>1261</v>
      </c>
      <c r="AJ159" t="s">
        <v>1262</v>
      </c>
      <c r="AK159">
        <v>5198107</v>
      </c>
      <c r="AM159" t="s">
        <v>1263</v>
      </c>
      <c r="AN159" t="s">
        <v>2158</v>
      </c>
      <c r="AO159" t="s">
        <v>2159</v>
      </c>
      <c r="AP159" s="5">
        <v>46267.73541666667</v>
      </c>
      <c r="AQ159" t="s">
        <v>1266</v>
      </c>
      <c r="AR159" t="s">
        <v>1267</v>
      </c>
      <c r="AS159" t="s">
        <v>1268</v>
      </c>
      <c r="AT159" t="s">
        <v>1269</v>
      </c>
      <c r="AU159" t="s">
        <v>1270</v>
      </c>
    </row>
    <row r="160" spans="1:47" x14ac:dyDescent="0.25">
      <c r="A160" s="1" t="s">
        <v>882</v>
      </c>
      <c r="B160" s="1" t="s">
        <v>883</v>
      </c>
      <c r="C160" s="1" t="s">
        <v>883</v>
      </c>
      <c r="D160" s="1" t="s">
        <v>884</v>
      </c>
      <c r="E160" s="1" t="s">
        <v>38</v>
      </c>
      <c r="F160" s="1" t="s">
        <v>39</v>
      </c>
      <c r="G160" s="2">
        <v>-13470</v>
      </c>
      <c r="H160" s="2">
        <v>5509361.6399999997</v>
      </c>
      <c r="I160" s="1" t="s">
        <v>40</v>
      </c>
      <c r="J160" s="1" t="s">
        <v>49</v>
      </c>
      <c r="K160" s="1" t="s">
        <v>885</v>
      </c>
      <c r="L160" s="1" t="s">
        <v>39</v>
      </c>
      <c r="M160" s="1" t="s">
        <v>886</v>
      </c>
      <c r="P160">
        <v>520420</v>
      </c>
      <c r="Q160" t="s">
        <v>1392</v>
      </c>
      <c r="R160" t="s">
        <v>1286</v>
      </c>
      <c r="T160" t="s">
        <v>1259</v>
      </c>
      <c r="U160">
        <v>13470</v>
      </c>
      <c r="V160" s="8">
        <f>G160+U160</f>
        <v>0</v>
      </c>
      <c r="W160">
        <v>0</v>
      </c>
      <c r="X160">
        <v>72</v>
      </c>
      <c r="Y160">
        <v>23</v>
      </c>
      <c r="Z160">
        <v>0</v>
      </c>
      <c r="AA160">
        <v>0</v>
      </c>
      <c r="AB160">
        <v>51753.224000000002</v>
      </c>
      <c r="AC160" s="4">
        <v>46267</v>
      </c>
      <c r="AD160" t="s">
        <v>1595</v>
      </c>
      <c r="AE160" t="s">
        <v>882</v>
      </c>
      <c r="AH160" t="s">
        <v>1596</v>
      </c>
      <c r="AI160" t="s">
        <v>1261</v>
      </c>
      <c r="AJ160" t="s">
        <v>1262</v>
      </c>
      <c r="AK160">
        <v>520420</v>
      </c>
      <c r="AL160" t="s">
        <v>1596</v>
      </c>
      <c r="AM160" t="s">
        <v>1263</v>
      </c>
      <c r="AN160" t="s">
        <v>1597</v>
      </c>
      <c r="AO160" t="s">
        <v>1598</v>
      </c>
      <c r="AP160" s="5">
        <v>46267.667361111111</v>
      </c>
      <c r="AQ160" t="s">
        <v>1266</v>
      </c>
      <c r="AS160" t="s">
        <v>1268</v>
      </c>
      <c r="AT160" t="s">
        <v>1269</v>
      </c>
      <c r="AU160" t="s">
        <v>1270</v>
      </c>
    </row>
    <row r="161" spans="1:47" x14ac:dyDescent="0.25">
      <c r="A161" s="1" t="s">
        <v>863</v>
      </c>
      <c r="B161" s="1" t="s">
        <v>864</v>
      </c>
      <c r="C161" s="1" t="s">
        <v>864</v>
      </c>
      <c r="D161" s="1" t="s">
        <v>865</v>
      </c>
      <c r="E161" s="1" t="s">
        <v>38</v>
      </c>
      <c r="F161" s="1" t="s">
        <v>39</v>
      </c>
      <c r="G161" s="2">
        <v>-12537</v>
      </c>
      <c r="H161" s="2">
        <v>5398878.6399999997</v>
      </c>
      <c r="I161" s="1" t="s">
        <v>40</v>
      </c>
      <c r="J161" s="1" t="s">
        <v>49</v>
      </c>
      <c r="K161" s="1" t="s">
        <v>283</v>
      </c>
      <c r="L161" s="1" t="s">
        <v>39</v>
      </c>
      <c r="M161" s="1" t="s">
        <v>866</v>
      </c>
      <c r="P161">
        <v>395390</v>
      </c>
      <c r="Q161" t="s">
        <v>1609</v>
      </c>
      <c r="R161" t="s">
        <v>1257</v>
      </c>
      <c r="S161" t="s">
        <v>1258</v>
      </c>
      <c r="T161" t="s">
        <v>1259</v>
      </c>
      <c r="U161">
        <v>12537</v>
      </c>
      <c r="V161" s="8">
        <f>G161+U161</f>
        <v>0</v>
      </c>
      <c r="W161">
        <v>0</v>
      </c>
      <c r="X161">
        <v>72</v>
      </c>
      <c r="Y161">
        <v>0</v>
      </c>
      <c r="Z161">
        <v>0</v>
      </c>
      <c r="AA161">
        <v>0</v>
      </c>
      <c r="AB161">
        <v>4394280</v>
      </c>
      <c r="AC161" s="4">
        <v>46267</v>
      </c>
      <c r="AD161" t="s">
        <v>1613</v>
      </c>
      <c r="AE161" t="s">
        <v>863</v>
      </c>
      <c r="AH161" t="s">
        <v>1614</v>
      </c>
      <c r="AI161" t="s">
        <v>1261</v>
      </c>
      <c r="AJ161" t="s">
        <v>1262</v>
      </c>
      <c r="AK161">
        <v>765244</v>
      </c>
      <c r="AL161" t="s">
        <v>1614</v>
      </c>
      <c r="AM161" t="s">
        <v>1263</v>
      </c>
      <c r="AN161" t="s">
        <v>1615</v>
      </c>
      <c r="AO161" t="s">
        <v>1616</v>
      </c>
      <c r="AP161" s="5">
        <v>46267.684027777781</v>
      </c>
      <c r="AQ161" t="s">
        <v>1266</v>
      </c>
      <c r="AR161" t="s">
        <v>1267</v>
      </c>
      <c r="AS161" t="s">
        <v>1268</v>
      </c>
      <c r="AT161" t="s">
        <v>1269</v>
      </c>
      <c r="AU161" t="s">
        <v>1270</v>
      </c>
    </row>
    <row r="162" spans="1:47" x14ac:dyDescent="0.25">
      <c r="A162" s="1" t="s">
        <v>825</v>
      </c>
      <c r="B162" s="1" t="s">
        <v>826</v>
      </c>
      <c r="C162" s="1" t="s">
        <v>826</v>
      </c>
      <c r="D162" s="1" t="s">
        <v>827</v>
      </c>
      <c r="E162" s="1" t="s">
        <v>38</v>
      </c>
      <c r="F162" s="1" t="s">
        <v>39</v>
      </c>
      <c r="G162" s="2">
        <v>-3653</v>
      </c>
      <c r="H162" s="2">
        <v>5335264.6399999997</v>
      </c>
      <c r="I162" s="1" t="s">
        <v>40</v>
      </c>
      <c r="J162" s="1" t="s">
        <v>49</v>
      </c>
      <c r="K162" s="1" t="s">
        <v>283</v>
      </c>
      <c r="L162" s="1" t="s">
        <v>39</v>
      </c>
      <c r="M162" s="1" t="s">
        <v>828</v>
      </c>
      <c r="P162">
        <v>395390</v>
      </c>
      <c r="Q162" t="s">
        <v>1609</v>
      </c>
      <c r="R162" t="s">
        <v>1257</v>
      </c>
      <c r="S162" t="s">
        <v>1258</v>
      </c>
      <c r="T162" t="s">
        <v>1259</v>
      </c>
      <c r="U162">
        <v>3653</v>
      </c>
      <c r="V162" s="8">
        <f>G162+U162</f>
        <v>0</v>
      </c>
      <c r="W162">
        <v>0</v>
      </c>
      <c r="X162">
        <v>49</v>
      </c>
      <c r="Y162">
        <v>0</v>
      </c>
      <c r="Z162">
        <v>0</v>
      </c>
      <c r="AA162">
        <v>0</v>
      </c>
      <c r="AB162">
        <v>4242663</v>
      </c>
      <c r="AC162" s="4">
        <v>46267</v>
      </c>
      <c r="AD162" t="s">
        <v>1636</v>
      </c>
      <c r="AE162" t="s">
        <v>825</v>
      </c>
      <c r="AH162" t="s">
        <v>1614</v>
      </c>
      <c r="AI162" t="s">
        <v>1261</v>
      </c>
      <c r="AJ162" t="s">
        <v>1262</v>
      </c>
      <c r="AK162">
        <v>765244</v>
      </c>
      <c r="AL162" t="s">
        <v>1614</v>
      </c>
      <c r="AM162" t="s">
        <v>1263</v>
      </c>
      <c r="AN162" t="s">
        <v>1637</v>
      </c>
      <c r="AO162" t="s">
        <v>1638</v>
      </c>
      <c r="AP162" s="5">
        <v>46267.684027777781</v>
      </c>
      <c r="AQ162" t="s">
        <v>1266</v>
      </c>
      <c r="AR162" t="s">
        <v>1267</v>
      </c>
      <c r="AS162" t="s">
        <v>1268</v>
      </c>
      <c r="AT162" t="s">
        <v>1269</v>
      </c>
      <c r="AU162" t="s">
        <v>1270</v>
      </c>
    </row>
    <row r="163" spans="1:47" x14ac:dyDescent="0.25">
      <c r="A163" s="1" t="s">
        <v>810</v>
      </c>
      <c r="B163" s="1" t="s">
        <v>807</v>
      </c>
      <c r="C163" s="1" t="s">
        <v>811</v>
      </c>
      <c r="D163" s="1" t="s">
        <v>812</v>
      </c>
      <c r="E163" s="1" t="s">
        <v>38</v>
      </c>
      <c r="F163" s="1" t="s">
        <v>39</v>
      </c>
      <c r="G163" s="2">
        <v>-2608</v>
      </c>
      <c r="H163" s="2">
        <v>5320743.6399999997</v>
      </c>
      <c r="I163" s="1" t="s">
        <v>40</v>
      </c>
      <c r="J163" s="1" t="s">
        <v>49</v>
      </c>
      <c r="K163" s="1" t="s">
        <v>279</v>
      </c>
      <c r="L163" s="1" t="s">
        <v>39</v>
      </c>
      <c r="M163" s="1" t="s">
        <v>813</v>
      </c>
      <c r="P163">
        <v>395390</v>
      </c>
      <c r="Q163" t="s">
        <v>1609</v>
      </c>
      <c r="R163" t="s">
        <v>1257</v>
      </c>
      <c r="S163" t="s">
        <v>1258</v>
      </c>
      <c r="T163" t="s">
        <v>1259</v>
      </c>
      <c r="U163">
        <v>2608</v>
      </c>
      <c r="V163" s="8">
        <f>G163+U163</f>
        <v>0</v>
      </c>
      <c r="W163">
        <v>0</v>
      </c>
      <c r="X163">
        <v>40</v>
      </c>
      <c r="Y163">
        <v>0</v>
      </c>
      <c r="Z163">
        <v>0</v>
      </c>
      <c r="AA163">
        <v>0</v>
      </c>
      <c r="AB163">
        <v>4053870.8</v>
      </c>
      <c r="AC163" s="4">
        <v>46267</v>
      </c>
      <c r="AD163" t="s">
        <v>1657</v>
      </c>
      <c r="AE163" t="s">
        <v>810</v>
      </c>
      <c r="AH163" t="s">
        <v>1564</v>
      </c>
      <c r="AI163" t="s">
        <v>1261</v>
      </c>
      <c r="AJ163" t="s">
        <v>1262</v>
      </c>
      <c r="AK163">
        <v>852648</v>
      </c>
      <c r="AL163" t="s">
        <v>1564</v>
      </c>
      <c r="AM163" t="s">
        <v>1263</v>
      </c>
      <c r="AN163" t="s">
        <v>1658</v>
      </c>
      <c r="AO163" t="s">
        <v>1659</v>
      </c>
      <c r="AP163" s="5">
        <v>46267.684027777781</v>
      </c>
      <c r="AQ163" t="s">
        <v>1266</v>
      </c>
      <c r="AR163" t="s">
        <v>1267</v>
      </c>
      <c r="AS163" t="s">
        <v>1268</v>
      </c>
      <c r="AT163" t="s">
        <v>1269</v>
      </c>
      <c r="AU163" t="s">
        <v>1270</v>
      </c>
    </row>
    <row r="164" spans="1:47" x14ac:dyDescent="0.25">
      <c r="A164" s="1" t="s">
        <v>784</v>
      </c>
      <c r="B164" s="1" t="s">
        <v>785</v>
      </c>
      <c r="C164" s="1" t="s">
        <v>785</v>
      </c>
      <c r="D164" s="1" t="s">
        <v>488</v>
      </c>
      <c r="E164" s="1" t="s">
        <v>38</v>
      </c>
      <c r="F164" s="1" t="s">
        <v>39</v>
      </c>
      <c r="G164" s="2">
        <v>-226</v>
      </c>
      <c r="H164" s="2">
        <v>5258981.6399999997</v>
      </c>
      <c r="I164" s="1" t="s">
        <v>40</v>
      </c>
      <c r="J164" s="1" t="s">
        <v>49</v>
      </c>
      <c r="K164" s="1" t="s">
        <v>283</v>
      </c>
      <c r="L164" s="1" t="s">
        <v>39</v>
      </c>
      <c r="M164" s="1" t="s">
        <v>489</v>
      </c>
      <c r="P164">
        <v>395390</v>
      </c>
      <c r="Q164" t="s">
        <v>1609</v>
      </c>
      <c r="R164" t="s">
        <v>1257</v>
      </c>
      <c r="S164" t="s">
        <v>1258</v>
      </c>
      <c r="T164" t="s">
        <v>1259</v>
      </c>
      <c r="U164">
        <v>226</v>
      </c>
      <c r="V164" s="8">
        <f>G164+U164</f>
        <v>0</v>
      </c>
      <c r="W164">
        <v>0</v>
      </c>
      <c r="X164">
        <v>10</v>
      </c>
      <c r="Y164">
        <v>0</v>
      </c>
      <c r="Z164">
        <v>0</v>
      </c>
      <c r="AA164">
        <v>0</v>
      </c>
      <c r="AB164">
        <v>3755744.8</v>
      </c>
      <c r="AC164" s="4">
        <v>46267</v>
      </c>
      <c r="AD164" t="s">
        <v>1678</v>
      </c>
      <c r="AE164" t="s">
        <v>784</v>
      </c>
      <c r="AH164" t="s">
        <v>1614</v>
      </c>
      <c r="AI164" t="s">
        <v>1261</v>
      </c>
      <c r="AJ164" t="s">
        <v>1262</v>
      </c>
      <c r="AK164">
        <v>765244</v>
      </c>
      <c r="AL164" t="s">
        <v>1614</v>
      </c>
      <c r="AM164" t="s">
        <v>1263</v>
      </c>
      <c r="AN164" t="s">
        <v>1679</v>
      </c>
      <c r="AO164" t="s">
        <v>1680</v>
      </c>
      <c r="AP164" s="5">
        <v>46267.684027777781</v>
      </c>
      <c r="AQ164" t="s">
        <v>1266</v>
      </c>
      <c r="AR164" t="s">
        <v>1267</v>
      </c>
      <c r="AS164" t="s">
        <v>1268</v>
      </c>
      <c r="AT164" t="s">
        <v>1269</v>
      </c>
      <c r="AU164" t="s">
        <v>1270</v>
      </c>
    </row>
    <row r="165" spans="1:47" x14ac:dyDescent="0.25">
      <c r="A165" s="1" t="s">
        <v>774</v>
      </c>
      <c r="B165" s="1" t="s">
        <v>775</v>
      </c>
      <c r="C165" s="1" t="s">
        <v>775</v>
      </c>
      <c r="D165" s="1" t="s">
        <v>326</v>
      </c>
      <c r="E165" s="1" t="s">
        <v>38</v>
      </c>
      <c r="F165" s="1" t="s">
        <v>39</v>
      </c>
      <c r="G165" s="2">
        <v>-1399</v>
      </c>
      <c r="H165" s="2">
        <v>5253131.6399999997</v>
      </c>
      <c r="I165" s="1" t="s">
        <v>40</v>
      </c>
      <c r="J165" s="1" t="s">
        <v>49</v>
      </c>
      <c r="K165" s="1" t="s">
        <v>283</v>
      </c>
      <c r="L165" s="1" t="s">
        <v>39</v>
      </c>
      <c r="M165" s="1" t="s">
        <v>327</v>
      </c>
      <c r="P165">
        <v>395390</v>
      </c>
      <c r="Q165" t="s">
        <v>1609</v>
      </c>
      <c r="R165" t="s">
        <v>1257</v>
      </c>
      <c r="S165" t="s">
        <v>1258</v>
      </c>
      <c r="T165" t="s">
        <v>1259</v>
      </c>
      <c r="U165">
        <v>1399</v>
      </c>
      <c r="V165" s="8">
        <f>G165+U165</f>
        <v>0</v>
      </c>
      <c r="W165">
        <v>0</v>
      </c>
      <c r="X165">
        <v>25</v>
      </c>
      <c r="Y165">
        <v>0</v>
      </c>
      <c r="Z165">
        <v>0</v>
      </c>
      <c r="AA165">
        <v>0</v>
      </c>
      <c r="AB165">
        <v>3672942.8</v>
      </c>
      <c r="AC165" s="4">
        <v>46267</v>
      </c>
      <c r="AD165" t="s">
        <v>1699</v>
      </c>
      <c r="AE165" t="s">
        <v>774</v>
      </c>
      <c r="AH165" t="s">
        <v>1614</v>
      </c>
      <c r="AI165" t="s">
        <v>1261</v>
      </c>
      <c r="AJ165" t="s">
        <v>1262</v>
      </c>
      <c r="AK165">
        <v>765244</v>
      </c>
      <c r="AL165" t="s">
        <v>1614</v>
      </c>
      <c r="AM165" t="s">
        <v>1263</v>
      </c>
      <c r="AN165" t="s">
        <v>1700</v>
      </c>
      <c r="AO165" t="s">
        <v>1701</v>
      </c>
      <c r="AP165" s="5">
        <v>46267.684027777781</v>
      </c>
      <c r="AQ165" t="s">
        <v>1266</v>
      </c>
      <c r="AR165" t="s">
        <v>1267</v>
      </c>
      <c r="AS165" t="s">
        <v>1268</v>
      </c>
      <c r="AT165" t="s">
        <v>1269</v>
      </c>
      <c r="AU165" t="s">
        <v>1270</v>
      </c>
    </row>
    <row r="166" spans="1:47" x14ac:dyDescent="0.25">
      <c r="A166" s="1" t="s">
        <v>731</v>
      </c>
      <c r="B166" s="1" t="s">
        <v>732</v>
      </c>
      <c r="C166" s="1" t="s">
        <v>732</v>
      </c>
      <c r="D166" s="1" t="s">
        <v>733</v>
      </c>
      <c r="E166" s="1" t="s">
        <v>38</v>
      </c>
      <c r="F166" s="1" t="s">
        <v>39</v>
      </c>
      <c r="G166" s="2">
        <v>-1289</v>
      </c>
      <c r="H166" s="2">
        <v>5204549.6399999997</v>
      </c>
      <c r="I166" s="1" t="s">
        <v>40</v>
      </c>
      <c r="J166" s="1" t="s">
        <v>49</v>
      </c>
      <c r="K166" s="1" t="s">
        <v>283</v>
      </c>
      <c r="L166" s="1" t="s">
        <v>39</v>
      </c>
      <c r="M166" s="1" t="s">
        <v>734</v>
      </c>
      <c r="P166">
        <v>395390</v>
      </c>
      <c r="Q166" t="s">
        <v>1609</v>
      </c>
      <c r="R166" t="s">
        <v>1257</v>
      </c>
      <c r="S166" t="s">
        <v>1258</v>
      </c>
      <c r="T166" t="s">
        <v>1259</v>
      </c>
      <c r="U166">
        <v>1289</v>
      </c>
      <c r="V166" s="8">
        <f>G166+U166</f>
        <v>0</v>
      </c>
      <c r="W166">
        <v>0</v>
      </c>
      <c r="X166">
        <v>25</v>
      </c>
      <c r="Y166">
        <v>0</v>
      </c>
      <c r="Z166">
        <v>0</v>
      </c>
      <c r="AA166">
        <v>0</v>
      </c>
      <c r="AB166">
        <v>3646649.8</v>
      </c>
      <c r="AC166" s="4">
        <v>46267</v>
      </c>
      <c r="AD166" t="s">
        <v>1727</v>
      </c>
      <c r="AE166" t="s">
        <v>731</v>
      </c>
      <c r="AH166" t="s">
        <v>1614</v>
      </c>
      <c r="AI166" t="s">
        <v>1261</v>
      </c>
      <c r="AJ166" t="s">
        <v>1262</v>
      </c>
      <c r="AK166">
        <v>765244</v>
      </c>
      <c r="AL166" t="s">
        <v>1614</v>
      </c>
      <c r="AM166" t="s">
        <v>1263</v>
      </c>
      <c r="AN166" t="s">
        <v>1728</v>
      </c>
      <c r="AO166" t="s">
        <v>1729</v>
      </c>
      <c r="AP166" s="5">
        <v>46267.692361111112</v>
      </c>
      <c r="AQ166" t="s">
        <v>1266</v>
      </c>
      <c r="AR166" t="s">
        <v>1267</v>
      </c>
      <c r="AS166" t="s">
        <v>1268</v>
      </c>
      <c r="AT166" t="s">
        <v>1269</v>
      </c>
      <c r="AU166" t="s">
        <v>1270</v>
      </c>
    </row>
    <row r="167" spans="1:47" x14ac:dyDescent="0.25">
      <c r="A167" s="1" t="s">
        <v>720</v>
      </c>
      <c r="B167" s="1" t="s">
        <v>714</v>
      </c>
      <c r="C167" s="1" t="s">
        <v>714</v>
      </c>
      <c r="D167" s="1" t="s">
        <v>721</v>
      </c>
      <c r="E167" s="1" t="s">
        <v>38</v>
      </c>
      <c r="F167" s="1" t="s">
        <v>39</v>
      </c>
      <c r="G167" s="2">
        <v>-5056</v>
      </c>
      <c r="H167" s="2">
        <v>5189773.6399999997</v>
      </c>
      <c r="I167" s="1" t="s">
        <v>40</v>
      </c>
      <c r="J167" s="1" t="s">
        <v>49</v>
      </c>
      <c r="K167" s="1" t="s">
        <v>289</v>
      </c>
      <c r="L167" s="1" t="s">
        <v>39</v>
      </c>
      <c r="M167" s="1" t="s">
        <v>722</v>
      </c>
      <c r="P167">
        <v>395390</v>
      </c>
      <c r="Q167" t="s">
        <v>1609</v>
      </c>
      <c r="R167" t="s">
        <v>1257</v>
      </c>
      <c r="S167" t="s">
        <v>1258</v>
      </c>
      <c r="T167" t="s">
        <v>1259</v>
      </c>
      <c r="U167">
        <v>5056</v>
      </c>
      <c r="V167" s="8">
        <f>G167+U167</f>
        <v>0</v>
      </c>
      <c r="W167">
        <v>0</v>
      </c>
      <c r="X167">
        <v>57</v>
      </c>
      <c r="Y167">
        <v>0</v>
      </c>
      <c r="Z167">
        <v>0</v>
      </c>
      <c r="AA167">
        <v>0</v>
      </c>
      <c r="AB167">
        <v>3613620.8</v>
      </c>
      <c r="AC167" s="4">
        <v>46267</v>
      </c>
      <c r="AD167" t="s">
        <v>1736</v>
      </c>
      <c r="AE167" t="s">
        <v>720</v>
      </c>
      <c r="AH167" t="s">
        <v>1627</v>
      </c>
      <c r="AI167" t="s">
        <v>1261</v>
      </c>
      <c r="AJ167" t="s">
        <v>1262</v>
      </c>
      <c r="AK167">
        <v>350050</v>
      </c>
      <c r="AL167" t="s">
        <v>1627</v>
      </c>
      <c r="AM167" t="s">
        <v>1263</v>
      </c>
      <c r="AN167" t="s">
        <v>1737</v>
      </c>
      <c r="AO167" t="s">
        <v>1738</v>
      </c>
      <c r="AP167" s="5">
        <v>46267.692361111112</v>
      </c>
      <c r="AQ167" t="s">
        <v>1266</v>
      </c>
      <c r="AR167" t="s">
        <v>1267</v>
      </c>
      <c r="AS167" t="s">
        <v>1268</v>
      </c>
      <c r="AT167" t="s">
        <v>1269</v>
      </c>
      <c r="AU167" t="s">
        <v>1270</v>
      </c>
    </row>
    <row r="168" spans="1:47" x14ac:dyDescent="0.25">
      <c r="A168" s="1" t="s">
        <v>713</v>
      </c>
      <c r="B168" s="1" t="s">
        <v>714</v>
      </c>
      <c r="C168" s="1" t="s">
        <v>714</v>
      </c>
      <c r="D168" s="1" t="s">
        <v>715</v>
      </c>
      <c r="E168" s="1" t="s">
        <v>38</v>
      </c>
      <c r="F168" s="1" t="s">
        <v>39</v>
      </c>
      <c r="G168" s="2">
        <v>-9784</v>
      </c>
      <c r="H168" s="2">
        <v>5171082.6399999997</v>
      </c>
      <c r="I168" s="1" t="s">
        <v>40</v>
      </c>
      <c r="J168" s="1" t="s">
        <v>49</v>
      </c>
      <c r="K168" s="1" t="s">
        <v>289</v>
      </c>
      <c r="L168" s="1" t="s">
        <v>39</v>
      </c>
      <c r="M168" s="1" t="s">
        <v>716</v>
      </c>
      <c r="P168">
        <v>395390</v>
      </c>
      <c r="Q168" t="s">
        <v>1609</v>
      </c>
      <c r="R168" t="s">
        <v>1257</v>
      </c>
      <c r="S168" t="s">
        <v>1258</v>
      </c>
      <c r="T168" t="s">
        <v>1259</v>
      </c>
      <c r="U168">
        <v>9784</v>
      </c>
      <c r="V168" s="8">
        <f>G168+U168</f>
        <v>0</v>
      </c>
      <c r="W168">
        <v>0</v>
      </c>
      <c r="X168">
        <v>63</v>
      </c>
      <c r="Y168">
        <v>0</v>
      </c>
      <c r="Z168">
        <v>0</v>
      </c>
      <c r="AA168">
        <v>0</v>
      </c>
      <c r="AB168">
        <v>3587588.8</v>
      </c>
      <c r="AC168" s="4">
        <v>46267</v>
      </c>
      <c r="AD168" t="s">
        <v>1739</v>
      </c>
      <c r="AE168" t="s">
        <v>713</v>
      </c>
      <c r="AH168" t="s">
        <v>1627</v>
      </c>
      <c r="AI168" t="s">
        <v>1261</v>
      </c>
      <c r="AJ168" t="s">
        <v>1262</v>
      </c>
      <c r="AK168">
        <v>350050</v>
      </c>
      <c r="AL168" t="s">
        <v>1627</v>
      </c>
      <c r="AM168" t="s">
        <v>1263</v>
      </c>
      <c r="AN168" t="s">
        <v>1740</v>
      </c>
      <c r="AO168" t="s">
        <v>1741</v>
      </c>
      <c r="AP168" s="5">
        <v>46267.692361111112</v>
      </c>
      <c r="AQ168" t="s">
        <v>1266</v>
      </c>
      <c r="AR168" t="s">
        <v>1267</v>
      </c>
      <c r="AS168" t="s">
        <v>1268</v>
      </c>
      <c r="AT168" t="s">
        <v>1269</v>
      </c>
      <c r="AU168" t="s">
        <v>1270</v>
      </c>
    </row>
    <row r="169" spans="1:47" x14ac:dyDescent="0.25">
      <c r="A169" s="1" t="s">
        <v>707</v>
      </c>
      <c r="B169" s="1" t="s">
        <v>700</v>
      </c>
      <c r="C169" s="1" t="s">
        <v>700</v>
      </c>
      <c r="D169" s="1" t="s">
        <v>708</v>
      </c>
      <c r="E169" s="1" t="s">
        <v>38</v>
      </c>
      <c r="F169" s="1" t="s">
        <v>39</v>
      </c>
      <c r="G169" s="2">
        <v>-5244</v>
      </c>
      <c r="H169" s="2">
        <v>5162868.6399999997</v>
      </c>
      <c r="I169" s="1" t="s">
        <v>40</v>
      </c>
      <c r="J169" s="1" t="s">
        <v>49</v>
      </c>
      <c r="K169" s="1" t="s">
        <v>283</v>
      </c>
      <c r="L169" s="1" t="s">
        <v>39</v>
      </c>
      <c r="M169" s="1" t="s">
        <v>709</v>
      </c>
      <c r="P169">
        <v>395390</v>
      </c>
      <c r="Q169" t="s">
        <v>1609</v>
      </c>
      <c r="R169" t="s">
        <v>1257</v>
      </c>
      <c r="S169" t="s">
        <v>1258</v>
      </c>
      <c r="T169" t="s">
        <v>1259</v>
      </c>
      <c r="U169">
        <v>5244</v>
      </c>
      <c r="V169" s="8">
        <f>G169+U169</f>
        <v>0</v>
      </c>
      <c r="W169">
        <v>0</v>
      </c>
      <c r="X169">
        <v>57</v>
      </c>
      <c r="Y169">
        <v>0</v>
      </c>
      <c r="Z169">
        <v>0</v>
      </c>
      <c r="AA169">
        <v>0</v>
      </c>
      <c r="AB169">
        <v>3461668.8</v>
      </c>
      <c r="AC169" s="4">
        <v>46267</v>
      </c>
      <c r="AD169" t="s">
        <v>1757</v>
      </c>
      <c r="AE169" t="s">
        <v>707</v>
      </c>
      <c r="AH169" t="s">
        <v>1614</v>
      </c>
      <c r="AI169" t="s">
        <v>1261</v>
      </c>
      <c r="AJ169" t="s">
        <v>1262</v>
      </c>
      <c r="AK169">
        <v>765244</v>
      </c>
      <c r="AL169" t="s">
        <v>1614</v>
      </c>
      <c r="AM169" t="s">
        <v>1263</v>
      </c>
      <c r="AN169" t="s">
        <v>1758</v>
      </c>
      <c r="AO169" t="s">
        <v>1759</v>
      </c>
      <c r="AP169" s="5">
        <v>46267.692361111112</v>
      </c>
      <c r="AQ169" t="s">
        <v>1266</v>
      </c>
      <c r="AR169" t="s">
        <v>1267</v>
      </c>
      <c r="AS169" t="s">
        <v>1268</v>
      </c>
      <c r="AT169" t="s">
        <v>1269</v>
      </c>
      <c r="AU169" t="s">
        <v>1270</v>
      </c>
    </row>
    <row r="170" spans="1:47" x14ac:dyDescent="0.25">
      <c r="A170" s="1" t="s">
        <v>694</v>
      </c>
      <c r="B170" s="1" t="s">
        <v>690</v>
      </c>
      <c r="C170" s="1" t="s">
        <v>695</v>
      </c>
      <c r="D170" s="1" t="s">
        <v>696</v>
      </c>
      <c r="E170" s="1" t="s">
        <v>38</v>
      </c>
      <c r="F170" s="1" t="s">
        <v>39</v>
      </c>
      <c r="G170" s="2">
        <v>-4575</v>
      </c>
      <c r="H170" s="2">
        <v>5090638.6399999997</v>
      </c>
      <c r="I170" s="1" t="s">
        <v>40</v>
      </c>
      <c r="J170" s="1" t="s">
        <v>49</v>
      </c>
      <c r="K170" s="1" t="s">
        <v>279</v>
      </c>
      <c r="L170" s="1" t="s">
        <v>39</v>
      </c>
      <c r="M170" s="1" t="s">
        <v>697</v>
      </c>
      <c r="P170">
        <v>395390</v>
      </c>
      <c r="Q170" t="s">
        <v>1609</v>
      </c>
      <c r="R170" t="s">
        <v>1257</v>
      </c>
      <c r="S170" t="s">
        <v>1258</v>
      </c>
      <c r="T170" t="s">
        <v>1259</v>
      </c>
      <c r="U170">
        <v>4575</v>
      </c>
      <c r="V170" s="8">
        <f>G170+U170</f>
        <v>0</v>
      </c>
      <c r="W170">
        <v>0</v>
      </c>
      <c r="X170">
        <v>49</v>
      </c>
      <c r="Y170">
        <v>0</v>
      </c>
      <c r="Z170">
        <v>0</v>
      </c>
      <c r="AA170">
        <v>0</v>
      </c>
      <c r="AB170">
        <v>3388495.8</v>
      </c>
      <c r="AC170" s="4">
        <v>46267</v>
      </c>
      <c r="AD170" t="s">
        <v>1766</v>
      </c>
      <c r="AE170" t="s">
        <v>694</v>
      </c>
      <c r="AH170" t="s">
        <v>1564</v>
      </c>
      <c r="AI170" t="s">
        <v>1261</v>
      </c>
      <c r="AJ170" t="s">
        <v>1262</v>
      </c>
      <c r="AK170">
        <v>852648</v>
      </c>
      <c r="AL170" t="s">
        <v>1564</v>
      </c>
      <c r="AM170" t="s">
        <v>1263</v>
      </c>
      <c r="AN170" t="s">
        <v>1767</v>
      </c>
      <c r="AO170" t="s">
        <v>1768</v>
      </c>
      <c r="AP170" s="5">
        <v>46267.692361111112</v>
      </c>
      <c r="AQ170" t="s">
        <v>1266</v>
      </c>
      <c r="AR170" t="s">
        <v>1267</v>
      </c>
      <c r="AS170" t="s">
        <v>1268</v>
      </c>
      <c r="AT170" t="s">
        <v>1269</v>
      </c>
      <c r="AU170" t="s">
        <v>1270</v>
      </c>
    </row>
    <row r="171" spans="1:47" x14ac:dyDescent="0.25">
      <c r="A171" s="1" t="s">
        <v>686</v>
      </c>
      <c r="B171" s="1" t="s">
        <v>680</v>
      </c>
      <c r="C171" s="1" t="s">
        <v>680</v>
      </c>
      <c r="D171" s="1" t="s">
        <v>687</v>
      </c>
      <c r="E171" s="1" t="s">
        <v>38</v>
      </c>
      <c r="F171" s="1" t="s">
        <v>39</v>
      </c>
      <c r="G171" s="2">
        <v>-12232</v>
      </c>
      <c r="H171" s="2">
        <v>5068551.6399999997</v>
      </c>
      <c r="I171" s="1" t="s">
        <v>40</v>
      </c>
      <c r="J171" s="1" t="s">
        <v>49</v>
      </c>
      <c r="K171" s="1" t="s">
        <v>289</v>
      </c>
      <c r="L171" s="1" t="s">
        <v>39</v>
      </c>
      <c r="M171" s="1" t="s">
        <v>688</v>
      </c>
      <c r="P171">
        <v>395390</v>
      </c>
      <c r="Q171" t="s">
        <v>1609</v>
      </c>
      <c r="R171" t="s">
        <v>1257</v>
      </c>
      <c r="S171" t="s">
        <v>1258</v>
      </c>
      <c r="T171" t="s">
        <v>1259</v>
      </c>
      <c r="U171">
        <v>12232</v>
      </c>
      <c r="V171" s="8">
        <f>G171+U171</f>
        <v>0</v>
      </c>
      <c r="W171">
        <v>0</v>
      </c>
      <c r="X171">
        <v>72</v>
      </c>
      <c r="Y171">
        <v>0</v>
      </c>
      <c r="Z171">
        <v>0</v>
      </c>
      <c r="AA171">
        <v>0</v>
      </c>
      <c r="AB171">
        <v>3184184.8</v>
      </c>
      <c r="AC171" s="4">
        <v>46267</v>
      </c>
      <c r="AD171" t="s">
        <v>1790</v>
      </c>
      <c r="AE171" t="s">
        <v>686</v>
      </c>
      <c r="AH171" t="s">
        <v>1627</v>
      </c>
      <c r="AI171" t="s">
        <v>1261</v>
      </c>
      <c r="AJ171" t="s">
        <v>1262</v>
      </c>
      <c r="AK171">
        <v>350050</v>
      </c>
      <c r="AL171" t="s">
        <v>1627</v>
      </c>
      <c r="AM171" t="s">
        <v>1263</v>
      </c>
      <c r="AN171" t="s">
        <v>1791</v>
      </c>
      <c r="AO171" t="s">
        <v>1792</v>
      </c>
      <c r="AP171" s="5">
        <v>46267.692361111112</v>
      </c>
      <c r="AQ171" t="s">
        <v>1266</v>
      </c>
      <c r="AR171" t="s">
        <v>1267</v>
      </c>
      <c r="AS171" t="s">
        <v>1268</v>
      </c>
      <c r="AT171" t="s">
        <v>1269</v>
      </c>
      <c r="AU171" t="s">
        <v>1270</v>
      </c>
    </row>
    <row r="172" spans="1:47" x14ac:dyDescent="0.25">
      <c r="A172" s="1" t="s">
        <v>671</v>
      </c>
      <c r="B172" s="1" t="s">
        <v>646</v>
      </c>
      <c r="C172" s="1" t="s">
        <v>672</v>
      </c>
      <c r="D172" s="1" t="s">
        <v>673</v>
      </c>
      <c r="E172" s="1" t="s">
        <v>38</v>
      </c>
      <c r="F172" s="1" t="s">
        <v>39</v>
      </c>
      <c r="G172" s="2">
        <v>-21771</v>
      </c>
      <c r="H172" s="2">
        <v>5024558.6399999997</v>
      </c>
      <c r="I172" s="1" t="s">
        <v>40</v>
      </c>
      <c r="J172" s="1" t="s">
        <v>49</v>
      </c>
      <c r="K172" s="1" t="s">
        <v>289</v>
      </c>
      <c r="L172" s="1" t="s">
        <v>39</v>
      </c>
      <c r="M172" s="1" t="s">
        <v>674</v>
      </c>
      <c r="P172">
        <v>395390</v>
      </c>
      <c r="Q172" t="s">
        <v>1609</v>
      </c>
      <c r="R172" t="s">
        <v>1257</v>
      </c>
      <c r="S172" t="s">
        <v>1258</v>
      </c>
      <c r="T172" t="s">
        <v>1259</v>
      </c>
      <c r="U172">
        <v>21771</v>
      </c>
      <c r="V172" s="8">
        <f>G172+U172</f>
        <v>0</v>
      </c>
      <c r="W172">
        <v>0</v>
      </c>
      <c r="X172">
        <v>87</v>
      </c>
      <c r="Y172">
        <v>0</v>
      </c>
      <c r="Z172">
        <v>0</v>
      </c>
      <c r="AA172">
        <v>0</v>
      </c>
      <c r="AB172">
        <v>3142597.8</v>
      </c>
      <c r="AC172" s="4">
        <v>46267</v>
      </c>
      <c r="AD172" t="s">
        <v>1793</v>
      </c>
      <c r="AE172" t="s">
        <v>671</v>
      </c>
      <c r="AH172" t="s">
        <v>1627</v>
      </c>
      <c r="AI172" t="s">
        <v>1261</v>
      </c>
      <c r="AJ172" t="s">
        <v>1262</v>
      </c>
      <c r="AK172">
        <v>350050</v>
      </c>
      <c r="AL172" t="s">
        <v>1627</v>
      </c>
      <c r="AM172" t="s">
        <v>1263</v>
      </c>
      <c r="AN172" t="s">
        <v>1794</v>
      </c>
      <c r="AO172" t="s">
        <v>1795</v>
      </c>
      <c r="AP172" s="5">
        <v>46267.692361111112</v>
      </c>
      <c r="AQ172" t="s">
        <v>1266</v>
      </c>
      <c r="AR172" t="s">
        <v>1267</v>
      </c>
      <c r="AS172" t="s">
        <v>1268</v>
      </c>
      <c r="AT172" t="s">
        <v>1269</v>
      </c>
      <c r="AU172" t="s">
        <v>1270</v>
      </c>
    </row>
    <row r="173" spans="1:47" x14ac:dyDescent="0.25">
      <c r="A173" s="1" t="s">
        <v>668</v>
      </c>
      <c r="B173" s="1" t="s">
        <v>646</v>
      </c>
      <c r="C173" s="1" t="s">
        <v>646</v>
      </c>
      <c r="D173" s="1" t="s">
        <v>669</v>
      </c>
      <c r="E173" s="1" t="s">
        <v>38</v>
      </c>
      <c r="F173" s="1" t="s">
        <v>39</v>
      </c>
      <c r="G173" s="2">
        <v>-5220</v>
      </c>
      <c r="H173" s="2">
        <v>5019264.6399999997</v>
      </c>
      <c r="I173" s="1" t="s">
        <v>40</v>
      </c>
      <c r="J173" s="1" t="s">
        <v>49</v>
      </c>
      <c r="K173" s="1" t="s">
        <v>283</v>
      </c>
      <c r="L173" s="1" t="s">
        <v>39</v>
      </c>
      <c r="M173" s="1" t="s">
        <v>670</v>
      </c>
      <c r="P173">
        <v>395390</v>
      </c>
      <c r="Q173" t="s">
        <v>1609</v>
      </c>
      <c r="R173" t="s">
        <v>1257</v>
      </c>
      <c r="S173" t="s">
        <v>1258</v>
      </c>
      <c r="T173" t="s">
        <v>1259</v>
      </c>
      <c r="U173">
        <v>5220</v>
      </c>
      <c r="V173" s="8">
        <f>G173+U173</f>
        <v>0</v>
      </c>
      <c r="W173">
        <v>0</v>
      </c>
      <c r="X173">
        <v>57</v>
      </c>
      <c r="Y173">
        <v>0</v>
      </c>
      <c r="Z173">
        <v>0</v>
      </c>
      <c r="AA173">
        <v>0</v>
      </c>
      <c r="AB173">
        <v>3102335.8</v>
      </c>
      <c r="AC173" s="4">
        <v>46267</v>
      </c>
      <c r="AD173" t="s">
        <v>1800</v>
      </c>
      <c r="AE173" t="s">
        <v>668</v>
      </c>
      <c r="AH173" t="s">
        <v>1614</v>
      </c>
      <c r="AI173" t="s">
        <v>1261</v>
      </c>
      <c r="AJ173" t="s">
        <v>1262</v>
      </c>
      <c r="AK173">
        <v>765244</v>
      </c>
      <c r="AL173" t="s">
        <v>1614</v>
      </c>
      <c r="AM173" t="s">
        <v>1263</v>
      </c>
      <c r="AN173" t="s">
        <v>1801</v>
      </c>
      <c r="AO173" t="s">
        <v>1802</v>
      </c>
      <c r="AP173" s="5">
        <v>46267.692361111112</v>
      </c>
      <c r="AQ173" t="s">
        <v>1266</v>
      </c>
      <c r="AR173" t="s">
        <v>1267</v>
      </c>
      <c r="AS173" t="s">
        <v>1268</v>
      </c>
      <c r="AT173" t="s">
        <v>1269</v>
      </c>
      <c r="AU173" t="s">
        <v>1270</v>
      </c>
    </row>
    <row r="174" spans="1:47" x14ac:dyDescent="0.25">
      <c r="A174" s="1" t="s">
        <v>665</v>
      </c>
      <c r="B174" s="1" t="s">
        <v>658</v>
      </c>
      <c r="C174" s="1" t="s">
        <v>662</v>
      </c>
      <c r="D174" s="1" t="s">
        <v>666</v>
      </c>
      <c r="E174" s="1" t="s">
        <v>38</v>
      </c>
      <c r="F174" s="1" t="s">
        <v>39</v>
      </c>
      <c r="G174" s="2">
        <v>-2882</v>
      </c>
      <c r="H174" s="2">
        <v>5016334.6399999997</v>
      </c>
      <c r="I174" s="1" t="s">
        <v>40</v>
      </c>
      <c r="J174" s="1" t="s">
        <v>49</v>
      </c>
      <c r="K174" s="1" t="s">
        <v>283</v>
      </c>
      <c r="L174" s="1" t="s">
        <v>39</v>
      </c>
      <c r="M174" s="1" t="s">
        <v>667</v>
      </c>
      <c r="P174">
        <v>395390</v>
      </c>
      <c r="Q174" t="s">
        <v>1609</v>
      </c>
      <c r="R174" t="s">
        <v>1257</v>
      </c>
      <c r="S174" t="s">
        <v>1258</v>
      </c>
      <c r="T174" t="s">
        <v>1259</v>
      </c>
      <c r="U174">
        <v>2882</v>
      </c>
      <c r="V174" s="8">
        <f>G174+U174</f>
        <v>0</v>
      </c>
      <c r="W174">
        <v>0</v>
      </c>
      <c r="X174">
        <v>40</v>
      </c>
      <c r="Y174">
        <v>0</v>
      </c>
      <c r="Z174">
        <v>0</v>
      </c>
      <c r="AA174">
        <v>0</v>
      </c>
      <c r="AB174">
        <v>3196488.8</v>
      </c>
      <c r="AC174" s="4">
        <v>46267</v>
      </c>
      <c r="AD174" t="s">
        <v>1787</v>
      </c>
      <c r="AE174" t="s">
        <v>665</v>
      </c>
      <c r="AH174" t="s">
        <v>1614</v>
      </c>
      <c r="AI174" t="s">
        <v>1261</v>
      </c>
      <c r="AJ174" t="s">
        <v>1262</v>
      </c>
      <c r="AK174">
        <v>765244</v>
      </c>
      <c r="AL174" t="s">
        <v>1614</v>
      </c>
      <c r="AM174" t="s">
        <v>1263</v>
      </c>
      <c r="AN174" t="s">
        <v>1788</v>
      </c>
      <c r="AO174" t="s">
        <v>1789</v>
      </c>
      <c r="AP174" s="5">
        <v>46267.692361111112</v>
      </c>
      <c r="AQ174" t="s">
        <v>1266</v>
      </c>
      <c r="AR174" t="s">
        <v>1267</v>
      </c>
      <c r="AS174" t="s">
        <v>1268</v>
      </c>
      <c r="AT174" t="s">
        <v>1269</v>
      </c>
      <c r="AU174" t="s">
        <v>1270</v>
      </c>
    </row>
    <row r="175" spans="1:47" x14ac:dyDescent="0.25">
      <c r="A175" s="1" t="s">
        <v>654</v>
      </c>
      <c r="B175" s="1" t="s">
        <v>648</v>
      </c>
      <c r="C175" s="1" t="s">
        <v>641</v>
      </c>
      <c r="D175" s="1" t="s">
        <v>655</v>
      </c>
      <c r="E175" s="1" t="s">
        <v>38</v>
      </c>
      <c r="F175" s="1" t="s">
        <v>39</v>
      </c>
      <c r="G175" s="2">
        <v>-6260</v>
      </c>
      <c r="H175" s="2">
        <v>5000293.6399999997</v>
      </c>
      <c r="I175" s="1" t="s">
        <v>40</v>
      </c>
      <c r="J175" s="1" t="s">
        <v>49</v>
      </c>
      <c r="K175" s="1" t="s">
        <v>283</v>
      </c>
      <c r="L175" s="1" t="s">
        <v>39</v>
      </c>
      <c r="M175" s="1" t="s">
        <v>656</v>
      </c>
      <c r="P175">
        <v>395390</v>
      </c>
      <c r="Q175" t="s">
        <v>1609</v>
      </c>
      <c r="R175" t="s">
        <v>1257</v>
      </c>
      <c r="S175" t="s">
        <v>1258</v>
      </c>
      <c r="T175" t="s">
        <v>1259</v>
      </c>
      <c r="U175">
        <v>6260</v>
      </c>
      <c r="V175" s="8">
        <f>G175+U175</f>
        <v>0</v>
      </c>
      <c r="W175">
        <v>0</v>
      </c>
      <c r="X175">
        <v>57</v>
      </c>
      <c r="Y175">
        <v>0</v>
      </c>
      <c r="Z175">
        <v>0</v>
      </c>
      <c r="AA175">
        <v>0</v>
      </c>
      <c r="AB175">
        <v>3042741.8</v>
      </c>
      <c r="AC175" s="4">
        <v>46267</v>
      </c>
      <c r="AD175" t="s">
        <v>1812</v>
      </c>
      <c r="AE175" t="s">
        <v>654</v>
      </c>
      <c r="AH175" t="s">
        <v>1614</v>
      </c>
      <c r="AI175" t="s">
        <v>1261</v>
      </c>
      <c r="AJ175" t="s">
        <v>1262</v>
      </c>
      <c r="AK175">
        <v>765244</v>
      </c>
      <c r="AL175" t="s">
        <v>1614</v>
      </c>
      <c r="AM175" t="s">
        <v>1263</v>
      </c>
      <c r="AN175" t="s">
        <v>1813</v>
      </c>
      <c r="AO175" t="s">
        <v>1814</v>
      </c>
      <c r="AP175" s="5">
        <v>46267.692361111112</v>
      </c>
      <c r="AQ175" t="s">
        <v>1266</v>
      </c>
      <c r="AR175" t="s">
        <v>1267</v>
      </c>
      <c r="AS175" t="s">
        <v>1268</v>
      </c>
      <c r="AT175" t="s">
        <v>1269</v>
      </c>
      <c r="AU175" t="s">
        <v>1270</v>
      </c>
    </row>
    <row r="176" spans="1:47" x14ac:dyDescent="0.25">
      <c r="A176" s="1" t="s">
        <v>590</v>
      </c>
      <c r="B176" s="1" t="s">
        <v>537</v>
      </c>
      <c r="C176" s="1" t="s">
        <v>537</v>
      </c>
      <c r="D176" s="1" t="s">
        <v>591</v>
      </c>
      <c r="E176" s="1" t="s">
        <v>38</v>
      </c>
      <c r="F176" s="1" t="s">
        <v>39</v>
      </c>
      <c r="G176" s="2">
        <v>-3699</v>
      </c>
      <c r="H176" s="2">
        <v>4791211.6399999997</v>
      </c>
      <c r="I176" s="1" t="s">
        <v>40</v>
      </c>
      <c r="J176" s="1" t="s">
        <v>49</v>
      </c>
      <c r="K176" s="1" t="s">
        <v>283</v>
      </c>
      <c r="L176" s="1" t="s">
        <v>39</v>
      </c>
      <c r="M176" s="1" t="s">
        <v>592</v>
      </c>
      <c r="P176">
        <v>395390</v>
      </c>
      <c r="Q176" t="s">
        <v>1609</v>
      </c>
      <c r="R176" t="s">
        <v>1257</v>
      </c>
      <c r="S176" t="s">
        <v>1258</v>
      </c>
      <c r="T176" t="s">
        <v>1259</v>
      </c>
      <c r="U176">
        <v>3699</v>
      </c>
      <c r="V176" s="8">
        <f>G176+U176</f>
        <v>0</v>
      </c>
      <c r="W176">
        <v>0</v>
      </c>
      <c r="X176">
        <v>49</v>
      </c>
      <c r="Y176">
        <v>0</v>
      </c>
      <c r="Z176">
        <v>0</v>
      </c>
      <c r="AA176">
        <v>0</v>
      </c>
      <c r="AB176">
        <v>2517036.7999999998</v>
      </c>
      <c r="AC176" s="4">
        <v>46267</v>
      </c>
      <c r="AD176" t="s">
        <v>1895</v>
      </c>
      <c r="AE176" t="s">
        <v>590</v>
      </c>
      <c r="AH176" t="s">
        <v>1614</v>
      </c>
      <c r="AI176" t="s">
        <v>1261</v>
      </c>
      <c r="AJ176" t="s">
        <v>1262</v>
      </c>
      <c r="AK176">
        <v>765244</v>
      </c>
      <c r="AL176" t="s">
        <v>1614</v>
      </c>
      <c r="AM176" t="s">
        <v>1263</v>
      </c>
      <c r="AN176" t="s">
        <v>1896</v>
      </c>
      <c r="AO176" t="s">
        <v>1897</v>
      </c>
      <c r="AP176" s="5">
        <v>46267.692361111112</v>
      </c>
      <c r="AQ176" t="s">
        <v>1266</v>
      </c>
      <c r="AR176" t="s">
        <v>1267</v>
      </c>
      <c r="AS176" t="s">
        <v>1268</v>
      </c>
      <c r="AT176" t="s">
        <v>1269</v>
      </c>
      <c r="AU176" t="s">
        <v>1270</v>
      </c>
    </row>
    <row r="177" spans="1:47" x14ac:dyDescent="0.25">
      <c r="A177" s="1" t="s">
        <v>581</v>
      </c>
      <c r="B177" s="1" t="s">
        <v>556</v>
      </c>
      <c r="C177" s="1" t="s">
        <v>556</v>
      </c>
      <c r="D177" s="1" t="s">
        <v>582</v>
      </c>
      <c r="E177" s="1" t="s">
        <v>38</v>
      </c>
      <c r="F177" s="1" t="s">
        <v>39</v>
      </c>
      <c r="G177" s="2">
        <v>-5391</v>
      </c>
      <c r="H177" s="2">
        <v>4758567.6399999997</v>
      </c>
      <c r="I177" s="1" t="s">
        <v>40</v>
      </c>
      <c r="J177" s="1" t="s">
        <v>49</v>
      </c>
      <c r="K177" s="1" t="s">
        <v>283</v>
      </c>
      <c r="L177" s="1" t="s">
        <v>39</v>
      </c>
      <c r="M177" s="1" t="s">
        <v>583</v>
      </c>
      <c r="P177">
        <v>395390</v>
      </c>
      <c r="Q177" t="s">
        <v>1609</v>
      </c>
      <c r="R177" t="s">
        <v>1257</v>
      </c>
      <c r="S177" t="s">
        <v>1258</v>
      </c>
      <c r="T177" t="s">
        <v>1259</v>
      </c>
      <c r="U177">
        <v>5391</v>
      </c>
      <c r="V177" s="8">
        <f>G177+U177</f>
        <v>0</v>
      </c>
      <c r="W177">
        <v>0</v>
      </c>
      <c r="X177">
        <v>57</v>
      </c>
      <c r="Y177">
        <v>0</v>
      </c>
      <c r="Z177">
        <v>0</v>
      </c>
      <c r="AA177">
        <v>0</v>
      </c>
      <c r="AB177">
        <v>2547634.7999999998</v>
      </c>
      <c r="AC177" s="4">
        <v>46267</v>
      </c>
      <c r="AD177" t="s">
        <v>1886</v>
      </c>
      <c r="AE177" t="s">
        <v>581</v>
      </c>
      <c r="AH177" t="s">
        <v>1614</v>
      </c>
      <c r="AI177" t="s">
        <v>1261</v>
      </c>
      <c r="AJ177" t="s">
        <v>1262</v>
      </c>
      <c r="AK177">
        <v>765244</v>
      </c>
      <c r="AL177" t="s">
        <v>1614</v>
      </c>
      <c r="AM177" t="s">
        <v>1263</v>
      </c>
      <c r="AN177" t="s">
        <v>1887</v>
      </c>
      <c r="AO177" t="s">
        <v>1888</v>
      </c>
      <c r="AP177" s="5">
        <v>46267.692361111112</v>
      </c>
      <c r="AQ177" t="s">
        <v>1266</v>
      </c>
      <c r="AR177" t="s">
        <v>1267</v>
      </c>
      <c r="AS177" t="s">
        <v>1268</v>
      </c>
      <c r="AT177" t="s">
        <v>1269</v>
      </c>
      <c r="AU177" t="s">
        <v>1270</v>
      </c>
    </row>
    <row r="178" spans="1:47" x14ac:dyDescent="0.25">
      <c r="A178" s="1" t="s">
        <v>571</v>
      </c>
      <c r="B178" s="1" t="s">
        <v>556</v>
      </c>
      <c r="C178" s="1" t="s">
        <v>556</v>
      </c>
      <c r="D178" s="1" t="s">
        <v>572</v>
      </c>
      <c r="E178" s="1" t="s">
        <v>38</v>
      </c>
      <c r="F178" s="1" t="s">
        <v>39</v>
      </c>
      <c r="G178" s="2">
        <v>-249</v>
      </c>
      <c r="H178" s="2">
        <v>4743736.6399999997</v>
      </c>
      <c r="I178" s="1" t="s">
        <v>40</v>
      </c>
      <c r="J178" s="1" t="s">
        <v>49</v>
      </c>
      <c r="K178" s="1" t="s">
        <v>283</v>
      </c>
      <c r="L178" s="1" t="s">
        <v>39</v>
      </c>
      <c r="M178" s="1" t="s">
        <v>573</v>
      </c>
      <c r="P178">
        <v>395390</v>
      </c>
      <c r="Q178" t="s">
        <v>1609</v>
      </c>
      <c r="R178" t="s">
        <v>1257</v>
      </c>
      <c r="S178" t="s">
        <v>1258</v>
      </c>
      <c r="T178" t="s">
        <v>1259</v>
      </c>
      <c r="U178">
        <v>249</v>
      </c>
      <c r="V178" s="8">
        <f>G178+U178</f>
        <v>0</v>
      </c>
      <c r="W178">
        <v>0</v>
      </c>
      <c r="X178">
        <v>10</v>
      </c>
      <c r="Y178">
        <v>0</v>
      </c>
      <c r="Z178">
        <v>0</v>
      </c>
      <c r="AA178">
        <v>0</v>
      </c>
      <c r="AB178">
        <v>2349668.7999999998</v>
      </c>
      <c r="AC178" s="4">
        <v>46267</v>
      </c>
      <c r="AD178" t="s">
        <v>1923</v>
      </c>
      <c r="AE178" t="s">
        <v>571</v>
      </c>
      <c r="AH178" t="s">
        <v>1614</v>
      </c>
      <c r="AI178" t="s">
        <v>1261</v>
      </c>
      <c r="AJ178" t="s">
        <v>1262</v>
      </c>
      <c r="AK178">
        <v>765244</v>
      </c>
      <c r="AL178" t="s">
        <v>1614</v>
      </c>
      <c r="AM178" t="s">
        <v>1263</v>
      </c>
      <c r="AN178" t="s">
        <v>1924</v>
      </c>
      <c r="AO178" t="s">
        <v>1925</v>
      </c>
      <c r="AP178" s="5">
        <v>46267.692361111112</v>
      </c>
      <c r="AQ178" t="s">
        <v>1266</v>
      </c>
      <c r="AR178" t="s">
        <v>1267</v>
      </c>
      <c r="AS178" t="s">
        <v>1268</v>
      </c>
      <c r="AT178" t="s">
        <v>1269</v>
      </c>
      <c r="AU178" t="s">
        <v>1270</v>
      </c>
    </row>
    <row r="179" spans="1:47" x14ac:dyDescent="0.25">
      <c r="A179" s="1" t="s">
        <v>568</v>
      </c>
      <c r="B179" s="1" t="s">
        <v>556</v>
      </c>
      <c r="C179" s="1" t="s">
        <v>556</v>
      </c>
      <c r="D179" s="1" t="s">
        <v>569</v>
      </c>
      <c r="E179" s="1" t="s">
        <v>38</v>
      </c>
      <c r="F179" s="1" t="s">
        <v>39</v>
      </c>
      <c r="G179" s="2">
        <v>-17891</v>
      </c>
      <c r="H179" s="2">
        <v>4725837.6399999997</v>
      </c>
      <c r="I179" s="1" t="s">
        <v>40</v>
      </c>
      <c r="J179" s="1" t="s">
        <v>49</v>
      </c>
      <c r="K179" s="1" t="s">
        <v>283</v>
      </c>
      <c r="L179" s="1" t="s">
        <v>39</v>
      </c>
      <c r="M179" s="1" t="s">
        <v>570</v>
      </c>
      <c r="P179">
        <v>395390</v>
      </c>
      <c r="Q179" t="s">
        <v>1609</v>
      </c>
      <c r="R179" t="s">
        <v>1257</v>
      </c>
      <c r="S179" t="s">
        <v>1258</v>
      </c>
      <c r="T179" t="s">
        <v>1259</v>
      </c>
      <c r="U179">
        <v>17891</v>
      </c>
      <c r="V179" s="8">
        <f>G179+U179</f>
        <v>0</v>
      </c>
      <c r="W179">
        <v>0</v>
      </c>
      <c r="X179">
        <v>82</v>
      </c>
      <c r="Y179">
        <v>0</v>
      </c>
      <c r="Z179">
        <v>0</v>
      </c>
      <c r="AA179">
        <v>0</v>
      </c>
      <c r="AB179">
        <v>2520784.7999999998</v>
      </c>
      <c r="AC179" s="4">
        <v>46267</v>
      </c>
      <c r="AD179" t="s">
        <v>1892</v>
      </c>
      <c r="AE179" t="s">
        <v>568</v>
      </c>
      <c r="AH179" t="s">
        <v>1614</v>
      </c>
      <c r="AI179" t="s">
        <v>1261</v>
      </c>
      <c r="AJ179" t="s">
        <v>1262</v>
      </c>
      <c r="AK179">
        <v>765244</v>
      </c>
      <c r="AL179" t="s">
        <v>1614</v>
      </c>
      <c r="AM179" t="s">
        <v>1263</v>
      </c>
      <c r="AN179" t="s">
        <v>1893</v>
      </c>
      <c r="AO179" t="s">
        <v>1894</v>
      </c>
      <c r="AP179" s="5">
        <v>46267.692361111112</v>
      </c>
      <c r="AQ179" t="s">
        <v>1266</v>
      </c>
      <c r="AR179" t="s">
        <v>1267</v>
      </c>
      <c r="AS179" t="s">
        <v>1268</v>
      </c>
      <c r="AT179" t="s">
        <v>1269</v>
      </c>
      <c r="AU179" t="s">
        <v>1270</v>
      </c>
    </row>
    <row r="180" spans="1:47" x14ac:dyDescent="0.25">
      <c r="A180" s="1" t="s">
        <v>522</v>
      </c>
      <c r="B180" s="1" t="s">
        <v>491</v>
      </c>
      <c r="C180" s="1" t="s">
        <v>515</v>
      </c>
      <c r="D180" s="1" t="s">
        <v>523</v>
      </c>
      <c r="E180" s="1" t="s">
        <v>38</v>
      </c>
      <c r="F180" s="1" t="s">
        <v>39</v>
      </c>
      <c r="G180" s="2">
        <v>-5470</v>
      </c>
      <c r="H180" s="2">
        <v>4553255.6399999997</v>
      </c>
      <c r="I180" s="1" t="s">
        <v>40</v>
      </c>
      <c r="J180" s="1" t="s">
        <v>49</v>
      </c>
      <c r="K180" s="1" t="s">
        <v>279</v>
      </c>
      <c r="L180" s="1" t="s">
        <v>39</v>
      </c>
      <c r="M180" s="1" t="s">
        <v>524</v>
      </c>
      <c r="P180">
        <v>395390</v>
      </c>
      <c r="Q180" t="s">
        <v>1609</v>
      </c>
      <c r="R180" t="s">
        <v>1257</v>
      </c>
      <c r="S180" t="s">
        <v>1258</v>
      </c>
      <c r="T180" t="s">
        <v>1259</v>
      </c>
      <c r="U180">
        <v>5470</v>
      </c>
      <c r="V180" s="8">
        <f>G180+U180</f>
        <v>0</v>
      </c>
      <c r="W180">
        <v>0</v>
      </c>
      <c r="X180">
        <v>57</v>
      </c>
      <c r="Y180">
        <v>0</v>
      </c>
      <c r="Z180">
        <v>0</v>
      </c>
      <c r="AA180">
        <v>0</v>
      </c>
      <c r="AB180">
        <v>2492764.7999999998</v>
      </c>
      <c r="AC180" s="4">
        <v>46267</v>
      </c>
      <c r="AD180" t="s">
        <v>1911</v>
      </c>
      <c r="AE180" t="s">
        <v>522</v>
      </c>
      <c r="AH180" t="s">
        <v>1564</v>
      </c>
      <c r="AI180" t="s">
        <v>1261</v>
      </c>
      <c r="AJ180" t="s">
        <v>1262</v>
      </c>
      <c r="AK180">
        <v>852648</v>
      </c>
      <c r="AL180" t="s">
        <v>1564</v>
      </c>
      <c r="AM180" t="s">
        <v>1263</v>
      </c>
      <c r="AN180" t="s">
        <v>1912</v>
      </c>
      <c r="AO180" t="s">
        <v>1913</v>
      </c>
      <c r="AP180" s="5">
        <v>46267.692361111112</v>
      </c>
      <c r="AQ180" t="s">
        <v>1266</v>
      </c>
      <c r="AR180" t="s">
        <v>1267</v>
      </c>
      <c r="AS180" t="s">
        <v>1268</v>
      </c>
      <c r="AT180" t="s">
        <v>1269</v>
      </c>
      <c r="AU180" t="s">
        <v>1270</v>
      </c>
    </row>
    <row r="181" spans="1:47" x14ac:dyDescent="0.25">
      <c r="A181" s="1" t="s">
        <v>546</v>
      </c>
      <c r="B181" s="1" t="s">
        <v>511</v>
      </c>
      <c r="C181" s="1" t="s">
        <v>515</v>
      </c>
      <c r="D181" s="1" t="s">
        <v>547</v>
      </c>
      <c r="E181" s="1" t="s">
        <v>38</v>
      </c>
      <c r="F181" s="1" t="s">
        <v>39</v>
      </c>
      <c r="G181" s="2">
        <v>-13360</v>
      </c>
      <c r="H181" s="2">
        <v>4675671.6399999997</v>
      </c>
      <c r="I181" s="1" t="s">
        <v>40</v>
      </c>
      <c r="J181" s="1" t="s">
        <v>49</v>
      </c>
      <c r="K181" s="1" t="s">
        <v>283</v>
      </c>
      <c r="L181" s="1" t="s">
        <v>39</v>
      </c>
      <c r="M181" s="1" t="s">
        <v>548</v>
      </c>
      <c r="P181">
        <v>395390</v>
      </c>
      <c r="Q181" t="s">
        <v>1609</v>
      </c>
      <c r="R181" t="s">
        <v>1257</v>
      </c>
      <c r="S181" t="s">
        <v>1258</v>
      </c>
      <c r="T181" t="s">
        <v>1259</v>
      </c>
      <c r="U181">
        <v>13360</v>
      </c>
      <c r="V181" s="8">
        <f>G181+U181</f>
        <v>0</v>
      </c>
      <c r="W181">
        <v>0</v>
      </c>
      <c r="X181">
        <v>72</v>
      </c>
      <c r="Y181">
        <v>0</v>
      </c>
      <c r="Z181">
        <v>0</v>
      </c>
      <c r="AA181">
        <v>0</v>
      </c>
      <c r="AB181">
        <v>2277657.7999999998</v>
      </c>
      <c r="AC181" s="4">
        <v>46267</v>
      </c>
      <c r="AD181" t="s">
        <v>1935</v>
      </c>
      <c r="AE181" t="s">
        <v>546</v>
      </c>
      <c r="AH181" t="s">
        <v>1614</v>
      </c>
      <c r="AI181" t="s">
        <v>1261</v>
      </c>
      <c r="AJ181" t="s">
        <v>1262</v>
      </c>
      <c r="AK181">
        <v>765244</v>
      </c>
      <c r="AL181" t="s">
        <v>1614</v>
      </c>
      <c r="AM181" t="s">
        <v>1263</v>
      </c>
      <c r="AN181" t="s">
        <v>1936</v>
      </c>
      <c r="AO181" t="s">
        <v>1937</v>
      </c>
      <c r="AP181" s="5">
        <v>46267.692361111112</v>
      </c>
      <c r="AQ181" t="s">
        <v>1266</v>
      </c>
      <c r="AR181" t="s">
        <v>1267</v>
      </c>
      <c r="AS181" t="s">
        <v>1268</v>
      </c>
      <c r="AT181" t="s">
        <v>1269</v>
      </c>
      <c r="AU181" t="s">
        <v>1270</v>
      </c>
    </row>
    <row r="182" spans="1:47" x14ac:dyDescent="0.25">
      <c r="A182" s="1" t="s">
        <v>510</v>
      </c>
      <c r="B182" s="1" t="s">
        <v>498</v>
      </c>
      <c r="C182" s="1" t="s">
        <v>511</v>
      </c>
      <c r="D182" s="1" t="s">
        <v>512</v>
      </c>
      <c r="E182" s="1" t="s">
        <v>38</v>
      </c>
      <c r="F182" s="1" t="s">
        <v>39</v>
      </c>
      <c r="G182" s="2">
        <v>-6981</v>
      </c>
      <c r="H182" s="2">
        <v>4520920.6399999997</v>
      </c>
      <c r="I182" s="1" t="s">
        <v>40</v>
      </c>
      <c r="J182" s="1" t="s">
        <v>49</v>
      </c>
      <c r="K182" s="1" t="s">
        <v>279</v>
      </c>
      <c r="L182" s="1" t="s">
        <v>39</v>
      </c>
      <c r="M182" s="1" t="s">
        <v>513</v>
      </c>
      <c r="P182">
        <v>395390</v>
      </c>
      <c r="Q182" t="s">
        <v>1609</v>
      </c>
      <c r="R182" t="s">
        <v>1257</v>
      </c>
      <c r="S182" t="s">
        <v>1258</v>
      </c>
      <c r="T182" t="s">
        <v>1259</v>
      </c>
      <c r="U182">
        <v>6981</v>
      </c>
      <c r="V182" s="8">
        <f>G182+U182</f>
        <v>0</v>
      </c>
      <c r="W182">
        <v>0</v>
      </c>
      <c r="X182">
        <v>57</v>
      </c>
      <c r="Y182">
        <v>0</v>
      </c>
      <c r="Z182">
        <v>0</v>
      </c>
      <c r="AA182">
        <v>0</v>
      </c>
      <c r="AB182">
        <v>2226755.7999999998</v>
      </c>
      <c r="AC182" s="4">
        <v>46267</v>
      </c>
      <c r="AD182" t="s">
        <v>1944</v>
      </c>
      <c r="AE182" t="s">
        <v>510</v>
      </c>
      <c r="AH182" t="s">
        <v>1564</v>
      </c>
      <c r="AI182" t="s">
        <v>1261</v>
      </c>
      <c r="AJ182" t="s">
        <v>1262</v>
      </c>
      <c r="AK182">
        <v>852648</v>
      </c>
      <c r="AL182" t="s">
        <v>1564</v>
      </c>
      <c r="AM182" t="s">
        <v>1263</v>
      </c>
      <c r="AN182" t="s">
        <v>1945</v>
      </c>
      <c r="AO182" t="s">
        <v>1946</v>
      </c>
      <c r="AP182" s="5">
        <v>46267.692361111112</v>
      </c>
      <c r="AQ182" t="s">
        <v>1266</v>
      </c>
      <c r="AR182" t="s">
        <v>1267</v>
      </c>
      <c r="AS182" t="s">
        <v>1268</v>
      </c>
      <c r="AT182" t="s">
        <v>1269</v>
      </c>
      <c r="AU182" t="s">
        <v>1270</v>
      </c>
    </row>
    <row r="183" spans="1:47" x14ac:dyDescent="0.25">
      <c r="A183" s="1" t="s">
        <v>533</v>
      </c>
      <c r="B183" s="1" t="s">
        <v>526</v>
      </c>
      <c r="C183" s="1" t="s">
        <v>526</v>
      </c>
      <c r="D183" s="1" t="s">
        <v>534</v>
      </c>
      <c r="E183" s="1" t="s">
        <v>38</v>
      </c>
      <c r="F183" s="1" t="s">
        <v>39</v>
      </c>
      <c r="G183" s="2">
        <v>-26617</v>
      </c>
      <c r="H183" s="2">
        <v>4596684.6399999997</v>
      </c>
      <c r="I183" s="1" t="s">
        <v>40</v>
      </c>
      <c r="J183" s="1" t="s">
        <v>49</v>
      </c>
      <c r="K183" s="1" t="s">
        <v>283</v>
      </c>
      <c r="L183" s="1" t="s">
        <v>39</v>
      </c>
      <c r="M183" s="1" t="s">
        <v>535</v>
      </c>
      <c r="P183">
        <v>395390</v>
      </c>
      <c r="Q183" t="s">
        <v>1609</v>
      </c>
      <c r="R183" t="s">
        <v>1257</v>
      </c>
      <c r="S183" t="s">
        <v>1258</v>
      </c>
      <c r="T183" t="s">
        <v>1259</v>
      </c>
      <c r="U183">
        <v>26617</v>
      </c>
      <c r="V183" s="8">
        <f>G183+U183</f>
        <v>0</v>
      </c>
      <c r="W183">
        <v>0</v>
      </c>
      <c r="X183">
        <v>92</v>
      </c>
      <c r="Y183">
        <v>0</v>
      </c>
      <c r="Z183">
        <v>0</v>
      </c>
      <c r="AA183">
        <v>0</v>
      </c>
      <c r="AB183">
        <v>2240322.7999999998</v>
      </c>
      <c r="AC183" s="4">
        <v>46267</v>
      </c>
      <c r="AD183" t="s">
        <v>1938</v>
      </c>
      <c r="AE183" t="s">
        <v>533</v>
      </c>
      <c r="AH183" t="s">
        <v>1614</v>
      </c>
      <c r="AI183" t="s">
        <v>1261</v>
      </c>
      <c r="AJ183" t="s">
        <v>1262</v>
      </c>
      <c r="AK183">
        <v>765244</v>
      </c>
      <c r="AL183" t="s">
        <v>1614</v>
      </c>
      <c r="AM183" t="s">
        <v>1263</v>
      </c>
      <c r="AN183" t="s">
        <v>1939</v>
      </c>
      <c r="AO183" t="s">
        <v>1940</v>
      </c>
      <c r="AP183" s="5">
        <v>46267.692361111112</v>
      </c>
      <c r="AQ183" t="s">
        <v>1266</v>
      </c>
      <c r="AR183" t="s">
        <v>1267</v>
      </c>
      <c r="AS183" t="s">
        <v>1268</v>
      </c>
      <c r="AT183" t="s">
        <v>1269</v>
      </c>
      <c r="AU183" t="s">
        <v>1270</v>
      </c>
    </row>
    <row r="184" spans="1:47" x14ac:dyDescent="0.25">
      <c r="A184" s="1" t="s">
        <v>482</v>
      </c>
      <c r="B184" s="1" t="s">
        <v>483</v>
      </c>
      <c r="C184" s="1" t="s">
        <v>484</v>
      </c>
      <c r="D184" s="1" t="s">
        <v>485</v>
      </c>
      <c r="E184" s="1" t="s">
        <v>38</v>
      </c>
      <c r="F184" s="1" t="s">
        <v>39</v>
      </c>
      <c r="G184" s="2">
        <v>-3485</v>
      </c>
      <c r="H184" s="2">
        <v>4414196.6399999997</v>
      </c>
      <c r="I184" s="1" t="s">
        <v>40</v>
      </c>
      <c r="J184" s="1" t="s">
        <v>49</v>
      </c>
      <c r="K184" s="1" t="s">
        <v>279</v>
      </c>
      <c r="L184" s="1" t="s">
        <v>39</v>
      </c>
      <c r="M184" s="1" t="s">
        <v>486</v>
      </c>
      <c r="P184">
        <v>395390</v>
      </c>
      <c r="Q184" t="s">
        <v>1609</v>
      </c>
      <c r="R184" t="s">
        <v>1257</v>
      </c>
      <c r="S184" t="s">
        <v>1258</v>
      </c>
      <c r="T184" t="s">
        <v>1259</v>
      </c>
      <c r="U184">
        <v>3485</v>
      </c>
      <c r="V184" s="8">
        <f>G184+U184</f>
        <v>0</v>
      </c>
      <c r="W184">
        <v>0</v>
      </c>
      <c r="X184">
        <v>40</v>
      </c>
      <c r="Y184">
        <v>0</v>
      </c>
      <c r="Z184">
        <v>0</v>
      </c>
      <c r="AA184">
        <v>0</v>
      </c>
      <c r="AB184">
        <v>2118673.7999999998</v>
      </c>
      <c r="AC184" s="4">
        <v>46267</v>
      </c>
      <c r="AD184" t="s">
        <v>1962</v>
      </c>
      <c r="AE184" t="s">
        <v>482</v>
      </c>
      <c r="AH184" t="s">
        <v>1564</v>
      </c>
      <c r="AI184" t="s">
        <v>1261</v>
      </c>
      <c r="AJ184" t="s">
        <v>1262</v>
      </c>
      <c r="AK184">
        <v>852648</v>
      </c>
      <c r="AL184" t="s">
        <v>1564</v>
      </c>
      <c r="AM184" t="s">
        <v>1263</v>
      </c>
      <c r="AN184" t="s">
        <v>1963</v>
      </c>
      <c r="AO184" t="s">
        <v>1964</v>
      </c>
      <c r="AP184" s="5">
        <v>46267.692361111112</v>
      </c>
      <c r="AQ184" t="s">
        <v>1266</v>
      </c>
      <c r="AR184" t="s">
        <v>1267</v>
      </c>
      <c r="AS184" t="s">
        <v>1268</v>
      </c>
      <c r="AT184" t="s">
        <v>1269</v>
      </c>
      <c r="AU184" t="s">
        <v>1270</v>
      </c>
    </row>
    <row r="185" spans="1:47" x14ac:dyDescent="0.25">
      <c r="A185" s="1" t="s">
        <v>477</v>
      </c>
      <c r="B185" s="1" t="s">
        <v>478</v>
      </c>
      <c r="C185" s="1" t="s">
        <v>479</v>
      </c>
      <c r="D185" s="1" t="s">
        <v>480</v>
      </c>
      <c r="E185" s="1" t="s">
        <v>38</v>
      </c>
      <c r="F185" s="1" t="s">
        <v>39</v>
      </c>
      <c r="G185" s="2">
        <v>-25378</v>
      </c>
      <c r="H185" s="2">
        <v>4388788.6399999997</v>
      </c>
      <c r="I185" s="1" t="s">
        <v>40</v>
      </c>
      <c r="J185" s="1" t="s">
        <v>49</v>
      </c>
      <c r="K185" s="1" t="s">
        <v>279</v>
      </c>
      <c r="L185" s="1" t="s">
        <v>39</v>
      </c>
      <c r="M185" s="1" t="s">
        <v>481</v>
      </c>
      <c r="P185">
        <v>395390</v>
      </c>
      <c r="Q185" t="s">
        <v>1609</v>
      </c>
      <c r="R185" t="s">
        <v>1257</v>
      </c>
      <c r="S185" t="s">
        <v>1258</v>
      </c>
      <c r="T185" t="s">
        <v>1259</v>
      </c>
      <c r="U185">
        <v>25378</v>
      </c>
      <c r="V185" s="8">
        <f>G185+U185</f>
        <v>0</v>
      </c>
      <c r="W185">
        <v>0</v>
      </c>
      <c r="X185">
        <v>92</v>
      </c>
      <c r="Y185">
        <v>0</v>
      </c>
      <c r="Z185">
        <v>0</v>
      </c>
      <c r="AA185">
        <v>0</v>
      </c>
      <c r="AB185">
        <v>2080902.8</v>
      </c>
      <c r="AC185" s="4">
        <v>46267</v>
      </c>
      <c r="AD185" t="s">
        <v>1968</v>
      </c>
      <c r="AE185" t="s">
        <v>477</v>
      </c>
      <c r="AH185" t="s">
        <v>1564</v>
      </c>
      <c r="AI185" t="s">
        <v>1261</v>
      </c>
      <c r="AJ185" t="s">
        <v>1262</v>
      </c>
      <c r="AK185">
        <v>852648</v>
      </c>
      <c r="AL185" t="s">
        <v>1564</v>
      </c>
      <c r="AM185" t="s">
        <v>1263</v>
      </c>
      <c r="AN185" t="s">
        <v>1969</v>
      </c>
      <c r="AO185" t="s">
        <v>1970</v>
      </c>
      <c r="AP185" s="5">
        <v>46267.692361111112</v>
      </c>
      <c r="AQ185" t="s">
        <v>1266</v>
      </c>
      <c r="AR185" t="s">
        <v>1267</v>
      </c>
      <c r="AS185" t="s">
        <v>1268</v>
      </c>
      <c r="AT185" t="s">
        <v>1269</v>
      </c>
      <c r="AU185" t="s">
        <v>1270</v>
      </c>
    </row>
    <row r="186" spans="1:47" x14ac:dyDescent="0.25">
      <c r="A186" s="1" t="s">
        <v>428</v>
      </c>
      <c r="B186" s="1" t="s">
        <v>429</v>
      </c>
      <c r="C186" s="1" t="s">
        <v>429</v>
      </c>
      <c r="D186" s="1" t="s">
        <v>430</v>
      </c>
      <c r="E186" s="1" t="s">
        <v>38</v>
      </c>
      <c r="F186" s="1" t="s">
        <v>39</v>
      </c>
      <c r="G186" s="2">
        <v>-17470</v>
      </c>
      <c r="H186" s="2">
        <v>4107467.64</v>
      </c>
      <c r="I186" s="1" t="s">
        <v>40</v>
      </c>
      <c r="J186" s="1" t="s">
        <v>49</v>
      </c>
      <c r="K186" s="1" t="s">
        <v>283</v>
      </c>
      <c r="L186" s="1" t="s">
        <v>39</v>
      </c>
      <c r="M186" s="1" t="s">
        <v>431</v>
      </c>
      <c r="P186">
        <v>395390</v>
      </c>
      <c r="Q186" t="s">
        <v>1609</v>
      </c>
      <c r="R186" t="s">
        <v>1257</v>
      </c>
      <c r="S186" t="s">
        <v>1258</v>
      </c>
      <c r="T186" t="s">
        <v>1259</v>
      </c>
      <c r="U186">
        <v>17470</v>
      </c>
      <c r="V186" s="8">
        <f>G186+U186</f>
        <v>0</v>
      </c>
      <c r="W186">
        <v>0</v>
      </c>
      <c r="X186">
        <v>82</v>
      </c>
      <c r="Y186">
        <v>0</v>
      </c>
      <c r="Z186">
        <v>0</v>
      </c>
      <c r="AA186">
        <v>0</v>
      </c>
      <c r="AB186">
        <v>1934374</v>
      </c>
      <c r="AC186" s="4">
        <v>46267</v>
      </c>
      <c r="AD186" t="s">
        <v>2013</v>
      </c>
      <c r="AE186" t="s">
        <v>428</v>
      </c>
      <c r="AH186" t="s">
        <v>1614</v>
      </c>
      <c r="AI186" t="s">
        <v>1261</v>
      </c>
      <c r="AJ186" t="s">
        <v>1262</v>
      </c>
      <c r="AK186">
        <v>765244</v>
      </c>
      <c r="AL186" t="s">
        <v>1614</v>
      </c>
      <c r="AM186" t="s">
        <v>1263</v>
      </c>
      <c r="AN186" t="s">
        <v>2014</v>
      </c>
      <c r="AO186" t="s">
        <v>2015</v>
      </c>
      <c r="AP186" s="5">
        <v>46267.705555555556</v>
      </c>
      <c r="AQ186" t="s">
        <v>1266</v>
      </c>
      <c r="AR186" t="s">
        <v>1267</v>
      </c>
      <c r="AS186" t="s">
        <v>1268</v>
      </c>
      <c r="AT186" t="s">
        <v>1269</v>
      </c>
      <c r="AU186" t="s">
        <v>1270</v>
      </c>
    </row>
    <row r="187" spans="1:47" x14ac:dyDescent="0.25">
      <c r="A187" s="1" t="s">
        <v>392</v>
      </c>
      <c r="B187" s="1" t="s">
        <v>393</v>
      </c>
      <c r="C187" s="1" t="s">
        <v>394</v>
      </c>
      <c r="D187" s="1" t="s">
        <v>395</v>
      </c>
      <c r="E187" s="1" t="s">
        <v>38</v>
      </c>
      <c r="F187" s="1" t="s">
        <v>39</v>
      </c>
      <c r="G187" s="2">
        <v>-9290</v>
      </c>
      <c r="H187" s="2">
        <v>3994114.64</v>
      </c>
      <c r="I187" s="1" t="s">
        <v>40</v>
      </c>
      <c r="J187" s="1" t="s">
        <v>49</v>
      </c>
      <c r="K187" s="1" t="s">
        <v>289</v>
      </c>
      <c r="L187" s="1" t="s">
        <v>39</v>
      </c>
      <c r="M187" s="1" t="s">
        <v>396</v>
      </c>
      <c r="P187">
        <v>395390</v>
      </c>
      <c r="Q187" t="s">
        <v>1609</v>
      </c>
      <c r="R187" t="s">
        <v>1257</v>
      </c>
      <c r="S187" t="s">
        <v>1258</v>
      </c>
      <c r="T187" t="s">
        <v>1259</v>
      </c>
      <c r="U187">
        <v>9290</v>
      </c>
      <c r="V187" s="8">
        <f>G187+U187</f>
        <v>0</v>
      </c>
      <c r="W187">
        <v>0</v>
      </c>
      <c r="X187">
        <v>63</v>
      </c>
      <c r="Y187">
        <v>0</v>
      </c>
      <c r="Z187">
        <v>0</v>
      </c>
      <c r="AA187">
        <v>0</v>
      </c>
      <c r="AB187">
        <v>1076408.8</v>
      </c>
      <c r="AC187" s="4">
        <v>46267</v>
      </c>
      <c r="AD187" t="s">
        <v>2040</v>
      </c>
      <c r="AE187" t="s">
        <v>392</v>
      </c>
      <c r="AH187" t="s">
        <v>1627</v>
      </c>
      <c r="AI187" t="s">
        <v>1261</v>
      </c>
      <c r="AJ187" t="s">
        <v>1262</v>
      </c>
      <c r="AK187">
        <v>350050</v>
      </c>
      <c r="AL187" t="s">
        <v>1627</v>
      </c>
      <c r="AM187" t="s">
        <v>1263</v>
      </c>
      <c r="AN187" t="s">
        <v>2041</v>
      </c>
      <c r="AO187" t="s">
        <v>2042</v>
      </c>
      <c r="AP187" s="5">
        <v>46267.705555555556</v>
      </c>
      <c r="AQ187" t="s">
        <v>1266</v>
      </c>
      <c r="AR187" t="s">
        <v>1267</v>
      </c>
      <c r="AS187" t="s">
        <v>1268</v>
      </c>
      <c r="AT187" t="s">
        <v>1269</v>
      </c>
      <c r="AU187" t="s">
        <v>1270</v>
      </c>
    </row>
    <row r="188" spans="1:47" x14ac:dyDescent="0.25">
      <c r="A188" s="1" t="s">
        <v>353</v>
      </c>
      <c r="B188" s="1" t="s">
        <v>342</v>
      </c>
      <c r="C188" s="1" t="s">
        <v>354</v>
      </c>
      <c r="D188" s="1" t="s">
        <v>355</v>
      </c>
      <c r="E188" s="1" t="s">
        <v>38</v>
      </c>
      <c r="F188" s="1" t="s">
        <v>39</v>
      </c>
      <c r="G188" s="2">
        <v>-23875</v>
      </c>
      <c r="H188" s="2">
        <v>3927988.64</v>
      </c>
      <c r="I188" s="1" t="s">
        <v>40</v>
      </c>
      <c r="J188" s="1" t="s">
        <v>49</v>
      </c>
      <c r="K188" s="1" t="s">
        <v>283</v>
      </c>
      <c r="L188" s="1" t="s">
        <v>39</v>
      </c>
      <c r="M188" s="1" t="s">
        <v>356</v>
      </c>
      <c r="P188">
        <v>395390</v>
      </c>
      <c r="Q188" t="s">
        <v>1609</v>
      </c>
      <c r="R188" t="s">
        <v>1257</v>
      </c>
      <c r="S188" t="s">
        <v>1258</v>
      </c>
      <c r="T188" t="s">
        <v>1259</v>
      </c>
      <c r="U188">
        <v>23875</v>
      </c>
      <c r="V188" s="8">
        <f>G188+U188</f>
        <v>0</v>
      </c>
      <c r="W188">
        <v>0</v>
      </c>
      <c r="X188">
        <v>87</v>
      </c>
      <c r="Y188">
        <v>0</v>
      </c>
      <c r="Z188">
        <v>0</v>
      </c>
      <c r="AA188">
        <v>0</v>
      </c>
      <c r="AB188">
        <v>665871.80000000005</v>
      </c>
      <c r="AC188" s="4">
        <v>46267</v>
      </c>
      <c r="AD188" t="s">
        <v>2074</v>
      </c>
      <c r="AE188" t="s">
        <v>353</v>
      </c>
      <c r="AH188" t="s">
        <v>1614</v>
      </c>
      <c r="AI188" t="s">
        <v>1261</v>
      </c>
      <c r="AJ188" t="s">
        <v>1262</v>
      </c>
      <c r="AK188">
        <v>765244</v>
      </c>
      <c r="AL188" t="s">
        <v>1614</v>
      </c>
      <c r="AM188" t="s">
        <v>1263</v>
      </c>
      <c r="AN188" t="s">
        <v>2075</v>
      </c>
      <c r="AO188" t="s">
        <v>2076</v>
      </c>
      <c r="AP188" s="5">
        <v>46267.715277777781</v>
      </c>
      <c r="AQ188" t="s">
        <v>1266</v>
      </c>
      <c r="AR188" t="s">
        <v>1267</v>
      </c>
      <c r="AS188" t="s">
        <v>1268</v>
      </c>
      <c r="AT188" t="s">
        <v>1269</v>
      </c>
      <c r="AU188" t="s">
        <v>1270</v>
      </c>
    </row>
    <row r="189" spans="1:47" x14ac:dyDescent="0.25">
      <c r="A189" s="1" t="s">
        <v>291</v>
      </c>
      <c r="B189" s="1" t="s">
        <v>286</v>
      </c>
      <c r="C189" s="1" t="s">
        <v>287</v>
      </c>
      <c r="D189" s="1" t="s">
        <v>292</v>
      </c>
      <c r="E189" s="1" t="s">
        <v>38</v>
      </c>
      <c r="F189" s="1" t="s">
        <v>39</v>
      </c>
      <c r="G189" s="2">
        <v>-1318</v>
      </c>
      <c r="H189" s="2">
        <v>3810323.64</v>
      </c>
      <c r="I189" s="1" t="s">
        <v>40</v>
      </c>
      <c r="J189" s="1" t="s">
        <v>49</v>
      </c>
      <c r="K189" s="1" t="s">
        <v>283</v>
      </c>
      <c r="L189" s="1" t="s">
        <v>39</v>
      </c>
      <c r="M189" s="1" t="s">
        <v>293</v>
      </c>
      <c r="P189">
        <v>395390</v>
      </c>
      <c r="Q189" t="s">
        <v>1609</v>
      </c>
      <c r="R189" t="s">
        <v>1257</v>
      </c>
      <c r="S189" t="s">
        <v>1258</v>
      </c>
      <c r="T189" t="s">
        <v>1259</v>
      </c>
      <c r="U189">
        <v>1318</v>
      </c>
      <c r="V189" s="8">
        <f>G189+U189</f>
        <v>0</v>
      </c>
      <c r="W189">
        <v>0</v>
      </c>
      <c r="X189">
        <v>25</v>
      </c>
      <c r="Y189">
        <v>0</v>
      </c>
      <c r="Z189">
        <v>0</v>
      </c>
      <c r="AA189">
        <v>0</v>
      </c>
      <c r="AB189">
        <v>401486.8</v>
      </c>
      <c r="AC189" s="4">
        <v>46267</v>
      </c>
      <c r="AD189" t="s">
        <v>2098</v>
      </c>
      <c r="AE189" t="s">
        <v>291</v>
      </c>
      <c r="AH189" t="s">
        <v>1614</v>
      </c>
      <c r="AI189" t="s">
        <v>1261</v>
      </c>
      <c r="AJ189" t="s">
        <v>1262</v>
      </c>
      <c r="AK189">
        <v>765244</v>
      </c>
      <c r="AL189" t="s">
        <v>1614</v>
      </c>
      <c r="AM189" t="s">
        <v>1263</v>
      </c>
      <c r="AN189" t="s">
        <v>2099</v>
      </c>
      <c r="AO189" t="s">
        <v>2100</v>
      </c>
      <c r="AP189" s="5">
        <v>46267.715277777781</v>
      </c>
      <c r="AQ189" t="s">
        <v>1266</v>
      </c>
      <c r="AR189" t="s">
        <v>1267</v>
      </c>
      <c r="AS189" t="s">
        <v>1268</v>
      </c>
      <c r="AT189" t="s">
        <v>1269</v>
      </c>
      <c r="AU189" t="s">
        <v>1270</v>
      </c>
    </row>
    <row r="190" spans="1:47" x14ac:dyDescent="0.25">
      <c r="A190" s="1" t="s">
        <v>236</v>
      </c>
      <c r="B190" s="1" t="s">
        <v>237</v>
      </c>
      <c r="C190" s="1" t="s">
        <v>237</v>
      </c>
      <c r="D190" s="1" t="s">
        <v>238</v>
      </c>
      <c r="E190" s="1" t="s">
        <v>38</v>
      </c>
      <c r="F190" s="1" t="s">
        <v>39</v>
      </c>
      <c r="G190" s="2">
        <v>-1000</v>
      </c>
      <c r="H190" s="2">
        <v>3714364.64</v>
      </c>
      <c r="I190" s="1" t="s">
        <v>40</v>
      </c>
      <c r="J190" s="1" t="s">
        <v>41</v>
      </c>
      <c r="K190" s="1" t="s">
        <v>239</v>
      </c>
      <c r="L190" s="1" t="s">
        <v>39</v>
      </c>
      <c r="M190" s="1" t="s">
        <v>39</v>
      </c>
      <c r="P190">
        <v>469005</v>
      </c>
      <c r="Q190" t="s">
        <v>1528</v>
      </c>
      <c r="R190" t="s">
        <v>1257</v>
      </c>
      <c r="S190" t="s">
        <v>1258</v>
      </c>
      <c r="T190" t="s">
        <v>1259</v>
      </c>
      <c r="U190">
        <v>1000</v>
      </c>
      <c r="V190" s="8">
        <f>G190+U190</f>
        <v>0</v>
      </c>
      <c r="W190">
        <v>0</v>
      </c>
      <c r="X190">
        <v>10</v>
      </c>
      <c r="Y190">
        <v>0</v>
      </c>
      <c r="Z190">
        <v>1</v>
      </c>
      <c r="AA190">
        <v>0</v>
      </c>
      <c r="AB190">
        <v>761.2</v>
      </c>
      <c r="AC190" s="4">
        <v>46267</v>
      </c>
      <c r="AD190" t="s">
        <v>2167</v>
      </c>
      <c r="AE190" t="s">
        <v>236</v>
      </c>
      <c r="AI190" t="s">
        <v>1261</v>
      </c>
      <c r="AJ190" t="s">
        <v>1262</v>
      </c>
      <c r="AK190">
        <v>4293700</v>
      </c>
      <c r="AM190" t="s">
        <v>1263</v>
      </c>
      <c r="AN190" t="s">
        <v>2168</v>
      </c>
      <c r="AO190" t="s">
        <v>2168</v>
      </c>
      <c r="AP190" s="5">
        <v>46267.743750000001</v>
      </c>
      <c r="AQ190" t="s">
        <v>1266</v>
      </c>
      <c r="AR190" t="s">
        <v>1531</v>
      </c>
      <c r="AS190" t="s">
        <v>1268</v>
      </c>
      <c r="AT190" t="s">
        <v>1269</v>
      </c>
      <c r="AU190" t="s">
        <v>1270</v>
      </c>
    </row>
    <row r="191" spans="1:47" x14ac:dyDescent="0.25">
      <c r="A191" s="1" t="s">
        <v>850</v>
      </c>
      <c r="B191" s="1" t="s">
        <v>851</v>
      </c>
      <c r="C191" s="1" t="s">
        <v>851</v>
      </c>
      <c r="D191" s="1" t="s">
        <v>852</v>
      </c>
      <c r="E191" s="1" t="s">
        <v>38</v>
      </c>
      <c r="F191" s="1" t="s">
        <v>39</v>
      </c>
      <c r="G191" s="2">
        <v>-5260</v>
      </c>
      <c r="H191" s="2">
        <v>5383345.6399999997</v>
      </c>
      <c r="I191" s="1" t="s">
        <v>40</v>
      </c>
      <c r="J191" s="1" t="s">
        <v>49</v>
      </c>
      <c r="K191" s="1" t="s">
        <v>283</v>
      </c>
      <c r="L191" s="1" t="s">
        <v>39</v>
      </c>
      <c r="M191" s="1" t="s">
        <v>853</v>
      </c>
      <c r="P191">
        <v>395390</v>
      </c>
      <c r="Q191" t="s">
        <v>1609</v>
      </c>
      <c r="R191" t="s">
        <v>1257</v>
      </c>
      <c r="S191" t="s">
        <v>1258</v>
      </c>
      <c r="T191" t="s">
        <v>1259</v>
      </c>
      <c r="U191">
        <v>5260</v>
      </c>
      <c r="V191" s="8">
        <f>G191+U191</f>
        <v>0</v>
      </c>
      <c r="W191">
        <v>0</v>
      </c>
      <c r="X191">
        <v>57</v>
      </c>
      <c r="Y191">
        <v>0</v>
      </c>
      <c r="Z191">
        <v>0</v>
      </c>
      <c r="AA191">
        <v>0</v>
      </c>
      <c r="AB191">
        <v>4388963</v>
      </c>
      <c r="AC191" s="4">
        <v>46267</v>
      </c>
      <c r="AD191" t="s">
        <v>1617</v>
      </c>
      <c r="AE191" t="s">
        <v>850</v>
      </c>
      <c r="AH191" t="s">
        <v>1614</v>
      </c>
      <c r="AI191" t="s">
        <v>1261</v>
      </c>
      <c r="AJ191" t="s">
        <v>1262</v>
      </c>
      <c r="AK191">
        <v>765244</v>
      </c>
      <c r="AL191" t="s">
        <v>1614</v>
      </c>
      <c r="AM191" t="s">
        <v>1263</v>
      </c>
      <c r="AN191" t="s">
        <v>1618</v>
      </c>
      <c r="AO191" t="s">
        <v>1619</v>
      </c>
      <c r="AP191" s="5">
        <v>46267.684027777781</v>
      </c>
      <c r="AQ191" t="s">
        <v>1266</v>
      </c>
      <c r="AR191" t="s">
        <v>1267</v>
      </c>
      <c r="AS191" t="s">
        <v>1268</v>
      </c>
      <c r="AT191" t="s">
        <v>1269</v>
      </c>
      <c r="AU191" t="s">
        <v>1270</v>
      </c>
    </row>
    <row r="192" spans="1:47" x14ac:dyDescent="0.25">
      <c r="A192" s="1" t="s">
        <v>820</v>
      </c>
      <c r="B192" s="1" t="s">
        <v>821</v>
      </c>
      <c r="C192" s="1" t="s">
        <v>822</v>
      </c>
      <c r="D192" s="1" t="s">
        <v>823</v>
      </c>
      <c r="E192" s="1" t="s">
        <v>38</v>
      </c>
      <c r="F192" s="1" t="s">
        <v>39</v>
      </c>
      <c r="G192" s="2">
        <v>-2434</v>
      </c>
      <c r="H192" s="2">
        <v>5332766.6399999997</v>
      </c>
      <c r="I192" s="1" t="s">
        <v>40</v>
      </c>
      <c r="J192" s="1" t="s">
        <v>49</v>
      </c>
      <c r="K192" s="1" t="s">
        <v>279</v>
      </c>
      <c r="L192" s="1" t="s">
        <v>39</v>
      </c>
      <c r="M192" s="1" t="s">
        <v>824</v>
      </c>
      <c r="P192">
        <v>395390</v>
      </c>
      <c r="Q192" t="s">
        <v>1609</v>
      </c>
      <c r="R192" t="s">
        <v>1257</v>
      </c>
      <c r="S192" t="s">
        <v>1258</v>
      </c>
      <c r="T192" t="s">
        <v>1259</v>
      </c>
      <c r="U192">
        <v>2434</v>
      </c>
      <c r="V192" s="8">
        <f>G192+U192</f>
        <v>0</v>
      </c>
      <c r="W192">
        <v>0</v>
      </c>
      <c r="X192">
        <v>35</v>
      </c>
      <c r="Y192">
        <v>0</v>
      </c>
      <c r="Z192">
        <v>0</v>
      </c>
      <c r="AA192">
        <v>0</v>
      </c>
      <c r="AB192">
        <v>4155852</v>
      </c>
      <c r="AC192" s="4">
        <v>46267</v>
      </c>
      <c r="AD192" t="s">
        <v>1645</v>
      </c>
      <c r="AE192" t="s">
        <v>820</v>
      </c>
      <c r="AH192" t="s">
        <v>1564</v>
      </c>
      <c r="AI192" t="s">
        <v>1261</v>
      </c>
      <c r="AJ192" t="s">
        <v>1262</v>
      </c>
      <c r="AK192">
        <v>852648</v>
      </c>
      <c r="AL192" t="s">
        <v>1564</v>
      </c>
      <c r="AM192" t="s">
        <v>1263</v>
      </c>
      <c r="AN192" t="s">
        <v>1646</v>
      </c>
      <c r="AO192" t="s">
        <v>1647</v>
      </c>
      <c r="AP192" s="5">
        <v>46267.684027777781</v>
      </c>
      <c r="AQ192" t="s">
        <v>1266</v>
      </c>
      <c r="AR192" t="s">
        <v>1267</v>
      </c>
      <c r="AS192" t="s">
        <v>1268</v>
      </c>
      <c r="AT192" t="s">
        <v>1269</v>
      </c>
      <c r="AU192" t="s">
        <v>1270</v>
      </c>
    </row>
    <row r="193" spans="1:47" x14ac:dyDescent="0.25">
      <c r="A193" s="1" t="s">
        <v>817</v>
      </c>
      <c r="B193" s="1" t="s">
        <v>811</v>
      </c>
      <c r="C193" s="1" t="s">
        <v>811</v>
      </c>
      <c r="D193" s="1" t="s">
        <v>818</v>
      </c>
      <c r="E193" s="1" t="s">
        <v>38</v>
      </c>
      <c r="F193" s="1" t="s">
        <v>39</v>
      </c>
      <c r="G193" s="2">
        <v>-3331</v>
      </c>
      <c r="H193" s="2">
        <v>5329435.6399999997</v>
      </c>
      <c r="I193" s="1" t="s">
        <v>40</v>
      </c>
      <c r="J193" s="1" t="s">
        <v>49</v>
      </c>
      <c r="K193" s="1" t="s">
        <v>283</v>
      </c>
      <c r="L193" s="1" t="s">
        <v>39</v>
      </c>
      <c r="M193" s="1" t="s">
        <v>819</v>
      </c>
      <c r="P193">
        <v>395390</v>
      </c>
      <c r="Q193" t="s">
        <v>1609</v>
      </c>
      <c r="R193" t="s">
        <v>1257</v>
      </c>
      <c r="S193" t="s">
        <v>1258</v>
      </c>
      <c r="T193" t="s">
        <v>1259</v>
      </c>
      <c r="U193">
        <v>3331</v>
      </c>
      <c r="V193" s="8">
        <f>G193+U193</f>
        <v>0</v>
      </c>
      <c r="W193">
        <v>0</v>
      </c>
      <c r="X193">
        <v>40</v>
      </c>
      <c r="Y193">
        <v>0</v>
      </c>
      <c r="Z193">
        <v>0</v>
      </c>
      <c r="AA193">
        <v>0</v>
      </c>
      <c r="AB193">
        <v>4064605.8</v>
      </c>
      <c r="AC193" s="4">
        <v>46267</v>
      </c>
      <c r="AD193" t="s">
        <v>1651</v>
      </c>
      <c r="AE193" t="s">
        <v>817</v>
      </c>
      <c r="AH193" t="s">
        <v>1614</v>
      </c>
      <c r="AI193" t="s">
        <v>1261</v>
      </c>
      <c r="AJ193" t="s">
        <v>1262</v>
      </c>
      <c r="AK193">
        <v>765244</v>
      </c>
      <c r="AL193" t="s">
        <v>1614</v>
      </c>
      <c r="AM193" t="s">
        <v>1263</v>
      </c>
      <c r="AN193" t="s">
        <v>1652</v>
      </c>
      <c r="AO193" t="s">
        <v>1653</v>
      </c>
      <c r="AP193" s="5">
        <v>46267.684027777781</v>
      </c>
      <c r="AQ193" t="s">
        <v>1266</v>
      </c>
      <c r="AR193" t="s">
        <v>1267</v>
      </c>
      <c r="AS193" t="s">
        <v>1268</v>
      </c>
      <c r="AT193" t="s">
        <v>1269</v>
      </c>
      <c r="AU193" t="s">
        <v>1270</v>
      </c>
    </row>
    <row r="194" spans="1:47" x14ac:dyDescent="0.25">
      <c r="A194" s="1" t="s">
        <v>777</v>
      </c>
      <c r="B194" s="1" t="s">
        <v>778</v>
      </c>
      <c r="C194" s="1" t="s">
        <v>778</v>
      </c>
      <c r="D194" s="1" t="s">
        <v>779</v>
      </c>
      <c r="E194" s="1" t="s">
        <v>38</v>
      </c>
      <c r="F194" s="1" t="s">
        <v>39</v>
      </c>
      <c r="G194" s="2">
        <v>-134</v>
      </c>
      <c r="H194" s="2">
        <v>5254680.6399999997</v>
      </c>
      <c r="I194" s="1" t="s">
        <v>40</v>
      </c>
      <c r="J194" s="1" t="s">
        <v>49</v>
      </c>
      <c r="K194" s="1" t="s">
        <v>283</v>
      </c>
      <c r="L194" s="1" t="s">
        <v>39</v>
      </c>
      <c r="M194" s="1" t="s">
        <v>780</v>
      </c>
      <c r="P194">
        <v>395390</v>
      </c>
      <c r="Q194" t="s">
        <v>1609</v>
      </c>
      <c r="R194" t="s">
        <v>1257</v>
      </c>
      <c r="S194" t="s">
        <v>1258</v>
      </c>
      <c r="T194" t="s">
        <v>1259</v>
      </c>
      <c r="U194">
        <v>134</v>
      </c>
      <c r="V194" s="8">
        <f>G194+U194</f>
        <v>0</v>
      </c>
      <c r="W194">
        <v>0</v>
      </c>
      <c r="X194">
        <v>10</v>
      </c>
      <c r="Y194">
        <v>0</v>
      </c>
      <c r="Z194">
        <v>0</v>
      </c>
      <c r="AA194">
        <v>0</v>
      </c>
      <c r="AB194">
        <v>3686728.8</v>
      </c>
      <c r="AC194" s="4">
        <v>46267</v>
      </c>
      <c r="AD194" t="s">
        <v>1681</v>
      </c>
      <c r="AE194" t="s">
        <v>777</v>
      </c>
      <c r="AH194" t="s">
        <v>1614</v>
      </c>
      <c r="AI194" t="s">
        <v>1261</v>
      </c>
      <c r="AJ194" t="s">
        <v>1262</v>
      </c>
      <c r="AK194">
        <v>765244</v>
      </c>
      <c r="AL194" t="s">
        <v>1614</v>
      </c>
      <c r="AM194" t="s">
        <v>1263</v>
      </c>
      <c r="AN194" t="s">
        <v>1682</v>
      </c>
      <c r="AO194" t="s">
        <v>1683</v>
      </c>
      <c r="AP194" s="5">
        <v>46267.684027777781</v>
      </c>
      <c r="AQ194" t="s">
        <v>1266</v>
      </c>
      <c r="AR194" t="s">
        <v>1267</v>
      </c>
      <c r="AS194" t="s">
        <v>1268</v>
      </c>
      <c r="AT194" t="s">
        <v>1269</v>
      </c>
      <c r="AU194" t="s">
        <v>1270</v>
      </c>
    </row>
    <row r="195" spans="1:47" x14ac:dyDescent="0.25">
      <c r="A195" s="1" t="s">
        <v>766</v>
      </c>
      <c r="B195" s="1" t="s">
        <v>767</v>
      </c>
      <c r="C195" s="1" t="s">
        <v>768</v>
      </c>
      <c r="D195" s="1" t="s">
        <v>701</v>
      </c>
      <c r="E195" s="1" t="s">
        <v>38</v>
      </c>
      <c r="F195" s="1" t="s">
        <v>39</v>
      </c>
      <c r="G195" s="2">
        <v>-1560</v>
      </c>
      <c r="H195" s="2">
        <v>5245014.6399999997</v>
      </c>
      <c r="I195" s="1" t="s">
        <v>40</v>
      </c>
      <c r="J195" s="1" t="s">
        <v>49</v>
      </c>
      <c r="K195" s="1" t="s">
        <v>279</v>
      </c>
      <c r="L195" s="1" t="s">
        <v>39</v>
      </c>
      <c r="M195" s="1" t="s">
        <v>702</v>
      </c>
      <c r="P195">
        <v>395390</v>
      </c>
      <c r="Q195" t="s">
        <v>1609</v>
      </c>
      <c r="R195" t="s">
        <v>1257</v>
      </c>
      <c r="S195" t="s">
        <v>1258</v>
      </c>
      <c r="T195" t="s">
        <v>1259</v>
      </c>
      <c r="U195">
        <v>1560</v>
      </c>
      <c r="V195" s="8">
        <f>G195+U195</f>
        <v>0</v>
      </c>
      <c r="W195">
        <v>0</v>
      </c>
      <c r="X195">
        <v>35</v>
      </c>
      <c r="Y195">
        <v>0</v>
      </c>
      <c r="Z195">
        <v>0</v>
      </c>
      <c r="AA195">
        <v>0</v>
      </c>
      <c r="AB195">
        <v>3676650.8</v>
      </c>
      <c r="AC195" s="4">
        <v>46267</v>
      </c>
      <c r="AD195" t="s">
        <v>1690</v>
      </c>
      <c r="AE195" t="s">
        <v>766</v>
      </c>
      <c r="AH195" t="s">
        <v>1564</v>
      </c>
      <c r="AI195" t="s">
        <v>1261</v>
      </c>
      <c r="AJ195" t="s">
        <v>1262</v>
      </c>
      <c r="AK195">
        <v>852648</v>
      </c>
      <c r="AL195" t="s">
        <v>1564</v>
      </c>
      <c r="AM195" t="s">
        <v>1263</v>
      </c>
      <c r="AN195" t="s">
        <v>1691</v>
      </c>
      <c r="AO195" t="s">
        <v>1692</v>
      </c>
      <c r="AP195" s="5">
        <v>46267.684027777781</v>
      </c>
      <c r="AQ195" t="s">
        <v>1266</v>
      </c>
      <c r="AR195" t="s">
        <v>1267</v>
      </c>
      <c r="AS195" t="s">
        <v>1268</v>
      </c>
      <c r="AT195" t="s">
        <v>1269</v>
      </c>
      <c r="AU195" t="s">
        <v>1270</v>
      </c>
    </row>
    <row r="196" spans="1:47" x14ac:dyDescent="0.25">
      <c r="A196" s="1" t="s">
        <v>748</v>
      </c>
      <c r="B196" s="1" t="s">
        <v>749</v>
      </c>
      <c r="C196" s="1" t="s">
        <v>749</v>
      </c>
      <c r="D196" s="1" t="s">
        <v>750</v>
      </c>
      <c r="E196" s="1" t="s">
        <v>38</v>
      </c>
      <c r="F196" s="1" t="s">
        <v>39</v>
      </c>
      <c r="G196" s="2">
        <v>-10105</v>
      </c>
      <c r="H196" s="2">
        <v>5233909.6399999997</v>
      </c>
      <c r="I196" s="1" t="s">
        <v>40</v>
      </c>
      <c r="J196" s="1" t="s">
        <v>41</v>
      </c>
      <c r="K196" s="1" t="s">
        <v>751</v>
      </c>
      <c r="L196" s="1" t="s">
        <v>39</v>
      </c>
      <c r="M196" s="1" t="s">
        <v>39</v>
      </c>
      <c r="P196">
        <v>1331783</v>
      </c>
      <c r="Q196" t="s">
        <v>1715</v>
      </c>
      <c r="R196" t="s">
        <v>1257</v>
      </c>
      <c r="S196" t="s">
        <v>1258</v>
      </c>
      <c r="T196" t="s">
        <v>1259</v>
      </c>
      <c r="U196">
        <v>10105</v>
      </c>
      <c r="V196" s="8">
        <f>G196+U196</f>
        <v>0</v>
      </c>
      <c r="W196">
        <v>0</v>
      </c>
      <c r="X196">
        <v>15</v>
      </c>
      <c r="Y196">
        <v>0</v>
      </c>
      <c r="Z196">
        <v>1</v>
      </c>
      <c r="AA196">
        <v>0</v>
      </c>
      <c r="AB196">
        <v>168066.97</v>
      </c>
      <c r="AC196" s="4">
        <v>46267</v>
      </c>
      <c r="AD196" t="s">
        <v>1716</v>
      </c>
      <c r="AE196" t="s">
        <v>748</v>
      </c>
      <c r="AI196" t="s">
        <v>1261</v>
      </c>
      <c r="AJ196" t="s">
        <v>1262</v>
      </c>
      <c r="AK196">
        <v>9703073</v>
      </c>
      <c r="AM196" t="s">
        <v>1263</v>
      </c>
      <c r="AN196" t="s">
        <v>1717</v>
      </c>
      <c r="AO196">
        <v>9703073</v>
      </c>
      <c r="AP196" s="5">
        <v>46267.686805555553</v>
      </c>
      <c r="AQ196" t="s">
        <v>1266</v>
      </c>
      <c r="AS196" t="s">
        <v>1268</v>
      </c>
      <c r="AT196" t="s">
        <v>1269</v>
      </c>
      <c r="AU196" t="s">
        <v>1270</v>
      </c>
    </row>
    <row r="197" spans="1:47" x14ac:dyDescent="0.25">
      <c r="A197" s="1" t="s">
        <v>717</v>
      </c>
      <c r="B197" s="1" t="s">
        <v>714</v>
      </c>
      <c r="C197" s="1" t="s">
        <v>714</v>
      </c>
      <c r="D197" s="1" t="s">
        <v>718</v>
      </c>
      <c r="E197" s="1" t="s">
        <v>38</v>
      </c>
      <c r="F197" s="1" t="s">
        <v>39</v>
      </c>
      <c r="G197" s="2">
        <v>-8799</v>
      </c>
      <c r="H197" s="2">
        <v>5180974.6399999997</v>
      </c>
      <c r="I197" s="1" t="s">
        <v>40</v>
      </c>
      <c r="J197" s="1" t="s">
        <v>49</v>
      </c>
      <c r="K197" s="1" t="s">
        <v>283</v>
      </c>
      <c r="L197" s="1" t="s">
        <v>39</v>
      </c>
      <c r="M197" s="1" t="s">
        <v>719</v>
      </c>
      <c r="P197">
        <v>395390</v>
      </c>
      <c r="Q197" t="s">
        <v>1609</v>
      </c>
      <c r="R197" t="s">
        <v>1257</v>
      </c>
      <c r="S197" t="s">
        <v>1258</v>
      </c>
      <c r="T197" t="s">
        <v>1259</v>
      </c>
      <c r="U197">
        <v>8799</v>
      </c>
      <c r="V197" s="8">
        <f>G197+U197</f>
        <v>0</v>
      </c>
      <c r="W197">
        <v>0</v>
      </c>
      <c r="X197">
        <v>63</v>
      </c>
      <c r="Y197">
        <v>0</v>
      </c>
      <c r="Z197">
        <v>0</v>
      </c>
      <c r="AA197">
        <v>0</v>
      </c>
      <c r="AB197">
        <v>3560519.8</v>
      </c>
      <c r="AC197" s="4">
        <v>46267</v>
      </c>
      <c r="AD197" t="s">
        <v>1742</v>
      </c>
      <c r="AE197" t="s">
        <v>717</v>
      </c>
      <c r="AH197" t="s">
        <v>1614</v>
      </c>
      <c r="AI197" t="s">
        <v>1261</v>
      </c>
      <c r="AJ197" t="s">
        <v>1262</v>
      </c>
      <c r="AK197">
        <v>765244</v>
      </c>
      <c r="AL197" t="s">
        <v>1614</v>
      </c>
      <c r="AM197" t="s">
        <v>1263</v>
      </c>
      <c r="AN197" t="s">
        <v>1743</v>
      </c>
      <c r="AO197" t="s">
        <v>1744</v>
      </c>
      <c r="AP197" s="5">
        <v>46267.692361111112</v>
      </c>
      <c r="AQ197" t="s">
        <v>1266</v>
      </c>
      <c r="AR197" t="s">
        <v>1267</v>
      </c>
      <c r="AS197" t="s">
        <v>1268</v>
      </c>
      <c r="AT197" t="s">
        <v>1269</v>
      </c>
      <c r="AU197" t="s">
        <v>1270</v>
      </c>
    </row>
    <row r="198" spans="1:47" x14ac:dyDescent="0.25">
      <c r="A198" s="1" t="s">
        <v>703</v>
      </c>
      <c r="B198" s="1" t="s">
        <v>704</v>
      </c>
      <c r="C198" s="1" t="s">
        <v>691</v>
      </c>
      <c r="D198" s="1" t="s">
        <v>705</v>
      </c>
      <c r="E198" s="1" t="s">
        <v>38</v>
      </c>
      <c r="F198" s="1" t="s">
        <v>39</v>
      </c>
      <c r="G198" s="2">
        <v>-10807</v>
      </c>
      <c r="H198" s="2">
        <v>5151950.6399999997</v>
      </c>
      <c r="I198" s="1" t="s">
        <v>40</v>
      </c>
      <c r="J198" s="1" t="s">
        <v>49</v>
      </c>
      <c r="K198" s="1" t="s">
        <v>289</v>
      </c>
      <c r="L198" s="1" t="s">
        <v>39</v>
      </c>
      <c r="M198" s="1" t="s">
        <v>706</v>
      </c>
      <c r="P198">
        <v>395390</v>
      </c>
      <c r="Q198" t="s">
        <v>1609</v>
      </c>
      <c r="R198" t="s">
        <v>1257</v>
      </c>
      <c r="S198" t="s">
        <v>1258</v>
      </c>
      <c r="T198" t="s">
        <v>1259</v>
      </c>
      <c r="U198">
        <v>10807</v>
      </c>
      <c r="V198" s="8">
        <f>G198+U198</f>
        <v>0</v>
      </c>
      <c r="W198">
        <v>0</v>
      </c>
      <c r="X198">
        <v>72</v>
      </c>
      <c r="Y198">
        <v>0</v>
      </c>
      <c r="Z198">
        <v>0</v>
      </c>
      <c r="AA198">
        <v>0</v>
      </c>
      <c r="AB198">
        <v>3433734.8</v>
      </c>
      <c r="AC198" s="4">
        <v>46267</v>
      </c>
      <c r="AD198" t="s">
        <v>1763</v>
      </c>
      <c r="AE198" t="s">
        <v>703</v>
      </c>
      <c r="AH198" t="s">
        <v>1627</v>
      </c>
      <c r="AI198" t="s">
        <v>1261</v>
      </c>
      <c r="AJ198" t="s">
        <v>1262</v>
      </c>
      <c r="AK198">
        <v>350050</v>
      </c>
      <c r="AL198" t="s">
        <v>1627</v>
      </c>
      <c r="AM198" t="s">
        <v>1263</v>
      </c>
      <c r="AN198" t="s">
        <v>1764</v>
      </c>
      <c r="AO198" t="s">
        <v>1765</v>
      </c>
      <c r="AP198" s="5">
        <v>46267.692361111112</v>
      </c>
      <c r="AQ198" t="s">
        <v>1266</v>
      </c>
      <c r="AR198" t="s">
        <v>1267</v>
      </c>
      <c r="AS198" t="s">
        <v>1268</v>
      </c>
      <c r="AT198" t="s">
        <v>1269</v>
      </c>
      <c r="AU198" t="s">
        <v>1270</v>
      </c>
    </row>
    <row r="199" spans="1:47" x14ac:dyDescent="0.25">
      <c r="A199" s="1" t="s">
        <v>633</v>
      </c>
      <c r="B199" s="1" t="s">
        <v>634</v>
      </c>
      <c r="C199" s="1" t="s">
        <v>634</v>
      </c>
      <c r="D199" s="1" t="s">
        <v>635</v>
      </c>
      <c r="E199" s="1" t="s">
        <v>38</v>
      </c>
      <c r="F199" s="1" t="s">
        <v>39</v>
      </c>
      <c r="G199" s="2">
        <v>-4844</v>
      </c>
      <c r="H199" s="2">
        <v>4920772.6399999997</v>
      </c>
      <c r="I199" s="1" t="s">
        <v>40</v>
      </c>
      <c r="J199" s="1" t="s">
        <v>49</v>
      </c>
      <c r="K199" s="1" t="s">
        <v>283</v>
      </c>
      <c r="L199" s="1" t="s">
        <v>39</v>
      </c>
      <c r="M199" s="1" t="s">
        <v>636</v>
      </c>
      <c r="P199">
        <v>395390</v>
      </c>
      <c r="Q199" t="s">
        <v>1609</v>
      </c>
      <c r="R199" t="s">
        <v>1257</v>
      </c>
      <c r="S199" t="s">
        <v>1258</v>
      </c>
      <c r="T199" t="s">
        <v>1259</v>
      </c>
      <c r="U199">
        <v>4844</v>
      </c>
      <c r="V199" s="8">
        <f>G199+U199</f>
        <v>0</v>
      </c>
      <c r="W199">
        <v>0</v>
      </c>
      <c r="X199">
        <v>49</v>
      </c>
      <c r="Y199">
        <v>0</v>
      </c>
      <c r="Z199">
        <v>0</v>
      </c>
      <c r="AA199">
        <v>0</v>
      </c>
      <c r="AB199">
        <v>2947589.8</v>
      </c>
      <c r="AC199" s="4">
        <v>46267</v>
      </c>
      <c r="AD199" t="s">
        <v>1823</v>
      </c>
      <c r="AE199" t="s">
        <v>633</v>
      </c>
      <c r="AH199" t="s">
        <v>1614</v>
      </c>
      <c r="AI199" t="s">
        <v>1261</v>
      </c>
      <c r="AJ199" t="s">
        <v>1262</v>
      </c>
      <c r="AK199">
        <v>765244</v>
      </c>
      <c r="AL199" t="s">
        <v>1614</v>
      </c>
      <c r="AM199" t="s">
        <v>1263</v>
      </c>
      <c r="AN199" t="s">
        <v>1824</v>
      </c>
      <c r="AO199" t="s">
        <v>1825</v>
      </c>
      <c r="AP199" s="5">
        <v>46267.692361111112</v>
      </c>
      <c r="AQ199" t="s">
        <v>1266</v>
      </c>
      <c r="AR199" t="s">
        <v>1267</v>
      </c>
      <c r="AS199" t="s">
        <v>1268</v>
      </c>
      <c r="AT199" t="s">
        <v>1269</v>
      </c>
      <c r="AU199" t="s">
        <v>1270</v>
      </c>
    </row>
    <row r="200" spans="1:47" x14ac:dyDescent="0.25">
      <c r="A200" s="1" t="s">
        <v>637</v>
      </c>
      <c r="B200" s="1" t="s">
        <v>634</v>
      </c>
      <c r="C200" s="1" t="s">
        <v>634</v>
      </c>
      <c r="D200" s="1" t="s">
        <v>638</v>
      </c>
      <c r="E200" s="1" t="s">
        <v>38</v>
      </c>
      <c r="F200" s="1" t="s">
        <v>39</v>
      </c>
      <c r="G200" s="2">
        <v>-4780</v>
      </c>
      <c r="H200" s="2">
        <v>4925655.6399999997</v>
      </c>
      <c r="I200" s="1" t="s">
        <v>40</v>
      </c>
      <c r="J200" s="1" t="s">
        <v>49</v>
      </c>
      <c r="K200" s="1" t="s">
        <v>283</v>
      </c>
      <c r="L200" s="1" t="s">
        <v>39</v>
      </c>
      <c r="M200" s="1" t="s">
        <v>639</v>
      </c>
      <c r="P200">
        <v>395390</v>
      </c>
      <c r="Q200" t="s">
        <v>1609</v>
      </c>
      <c r="R200" t="s">
        <v>1257</v>
      </c>
      <c r="S200" t="s">
        <v>1258</v>
      </c>
      <c r="T200" t="s">
        <v>1259</v>
      </c>
      <c r="U200">
        <v>4780</v>
      </c>
      <c r="V200" s="8">
        <f>G200+U200</f>
        <v>0</v>
      </c>
      <c r="W200">
        <v>0</v>
      </c>
      <c r="X200">
        <v>49</v>
      </c>
      <c r="Y200">
        <v>0</v>
      </c>
      <c r="Z200">
        <v>0</v>
      </c>
      <c r="AA200">
        <v>0</v>
      </c>
      <c r="AB200">
        <v>2930269.8</v>
      </c>
      <c r="AC200" s="4">
        <v>46267</v>
      </c>
      <c r="AD200" t="s">
        <v>1826</v>
      </c>
      <c r="AE200" t="s">
        <v>637</v>
      </c>
      <c r="AH200" t="s">
        <v>1614</v>
      </c>
      <c r="AI200" t="s">
        <v>1261</v>
      </c>
      <c r="AJ200" t="s">
        <v>1262</v>
      </c>
      <c r="AK200">
        <v>765244</v>
      </c>
      <c r="AL200" t="s">
        <v>1614</v>
      </c>
      <c r="AM200" t="s">
        <v>1263</v>
      </c>
      <c r="AN200" t="s">
        <v>1827</v>
      </c>
      <c r="AO200" t="s">
        <v>1828</v>
      </c>
      <c r="AP200" s="5">
        <v>46267.692361111112</v>
      </c>
      <c r="AQ200" t="s">
        <v>1266</v>
      </c>
      <c r="AR200" t="s">
        <v>1267</v>
      </c>
      <c r="AS200" t="s">
        <v>1268</v>
      </c>
      <c r="AT200" t="s">
        <v>1269</v>
      </c>
      <c r="AU200" t="s">
        <v>1270</v>
      </c>
    </row>
    <row r="201" spans="1:47" x14ac:dyDescent="0.25">
      <c r="A201" s="1" t="s">
        <v>624</v>
      </c>
      <c r="B201" s="1" t="s">
        <v>617</v>
      </c>
      <c r="C201" s="1" t="s">
        <v>617</v>
      </c>
      <c r="D201" s="1" t="s">
        <v>625</v>
      </c>
      <c r="E201" s="1" t="s">
        <v>38</v>
      </c>
      <c r="F201" s="1" t="s">
        <v>39</v>
      </c>
      <c r="G201" s="2">
        <v>-5753</v>
      </c>
      <c r="H201" s="2">
        <v>4909522.6399999997</v>
      </c>
      <c r="I201" s="1" t="s">
        <v>40</v>
      </c>
      <c r="J201" s="1" t="s">
        <v>49</v>
      </c>
      <c r="K201" s="1" t="s">
        <v>283</v>
      </c>
      <c r="L201" s="1" t="s">
        <v>39</v>
      </c>
      <c r="M201" s="1" t="s">
        <v>626</v>
      </c>
      <c r="P201">
        <v>395390</v>
      </c>
      <c r="Q201" t="s">
        <v>1609</v>
      </c>
      <c r="R201" t="s">
        <v>1257</v>
      </c>
      <c r="S201" t="s">
        <v>1258</v>
      </c>
      <c r="T201" t="s">
        <v>1259</v>
      </c>
      <c r="U201">
        <v>5753</v>
      </c>
      <c r="V201" s="8">
        <f>G201+U201</f>
        <v>0</v>
      </c>
      <c r="W201">
        <v>0</v>
      </c>
      <c r="X201">
        <v>57</v>
      </c>
      <c r="Y201">
        <v>0</v>
      </c>
      <c r="Z201">
        <v>0</v>
      </c>
      <c r="AA201">
        <v>0</v>
      </c>
      <c r="AB201">
        <v>2924409.8</v>
      </c>
      <c r="AC201" s="4">
        <v>46267</v>
      </c>
      <c r="AD201" t="s">
        <v>1829</v>
      </c>
      <c r="AE201" t="s">
        <v>624</v>
      </c>
      <c r="AH201" t="s">
        <v>1614</v>
      </c>
      <c r="AI201" t="s">
        <v>1261</v>
      </c>
      <c r="AJ201" t="s">
        <v>1262</v>
      </c>
      <c r="AK201">
        <v>765244</v>
      </c>
      <c r="AL201" t="s">
        <v>1614</v>
      </c>
      <c r="AM201" t="s">
        <v>1263</v>
      </c>
      <c r="AN201" t="s">
        <v>1830</v>
      </c>
      <c r="AO201" t="s">
        <v>1831</v>
      </c>
      <c r="AP201" s="5">
        <v>46267.692361111112</v>
      </c>
      <c r="AQ201" t="s">
        <v>1266</v>
      </c>
      <c r="AR201" t="s">
        <v>1267</v>
      </c>
      <c r="AS201" t="s">
        <v>1268</v>
      </c>
      <c r="AT201" t="s">
        <v>1269</v>
      </c>
      <c r="AU201" t="s">
        <v>1270</v>
      </c>
    </row>
    <row r="202" spans="1:47" x14ac:dyDescent="0.25">
      <c r="A202" s="1" t="s">
        <v>621</v>
      </c>
      <c r="B202" s="1" t="s">
        <v>617</v>
      </c>
      <c r="C202" s="1" t="s">
        <v>617</v>
      </c>
      <c r="D202" s="1" t="s">
        <v>622</v>
      </c>
      <c r="E202" s="1" t="s">
        <v>38</v>
      </c>
      <c r="F202" s="1" t="s">
        <v>39</v>
      </c>
      <c r="G202" s="2">
        <v>-13809</v>
      </c>
      <c r="H202" s="2">
        <v>4895665.6399999997</v>
      </c>
      <c r="I202" s="1" t="s">
        <v>40</v>
      </c>
      <c r="J202" s="1" t="s">
        <v>49</v>
      </c>
      <c r="K202" s="1" t="s">
        <v>283</v>
      </c>
      <c r="L202" s="1" t="s">
        <v>39</v>
      </c>
      <c r="M202" s="1" t="s">
        <v>623</v>
      </c>
      <c r="P202">
        <v>395390</v>
      </c>
      <c r="Q202" t="s">
        <v>1609</v>
      </c>
      <c r="R202" t="s">
        <v>1257</v>
      </c>
      <c r="S202" t="s">
        <v>1258</v>
      </c>
      <c r="T202" t="s">
        <v>1259</v>
      </c>
      <c r="U202">
        <v>13809</v>
      </c>
      <c r="V202" s="8">
        <f>G202+U202</f>
        <v>0</v>
      </c>
      <c r="W202">
        <v>0</v>
      </c>
      <c r="X202">
        <v>72</v>
      </c>
      <c r="Y202">
        <v>0</v>
      </c>
      <c r="Z202">
        <v>0</v>
      </c>
      <c r="AA202">
        <v>0</v>
      </c>
      <c r="AB202">
        <v>2776804.8</v>
      </c>
      <c r="AC202" s="4">
        <v>46267</v>
      </c>
      <c r="AD202" t="s">
        <v>1847</v>
      </c>
      <c r="AE202" t="s">
        <v>621</v>
      </c>
      <c r="AH202" t="s">
        <v>1614</v>
      </c>
      <c r="AI202" t="s">
        <v>1261</v>
      </c>
      <c r="AJ202" t="s">
        <v>1262</v>
      </c>
      <c r="AK202">
        <v>765244</v>
      </c>
      <c r="AL202" t="s">
        <v>1614</v>
      </c>
      <c r="AM202" t="s">
        <v>1263</v>
      </c>
      <c r="AN202" t="s">
        <v>1848</v>
      </c>
      <c r="AO202" t="s">
        <v>1849</v>
      </c>
      <c r="AP202" s="5">
        <v>46267.692361111112</v>
      </c>
      <c r="AQ202" t="s">
        <v>1266</v>
      </c>
      <c r="AR202" t="s">
        <v>1267</v>
      </c>
      <c r="AS202" t="s">
        <v>1268</v>
      </c>
      <c r="AT202" t="s">
        <v>1269</v>
      </c>
      <c r="AU202" t="s">
        <v>1270</v>
      </c>
    </row>
    <row r="203" spans="1:47" x14ac:dyDescent="0.25">
      <c r="A203" s="1" t="s">
        <v>613</v>
      </c>
      <c r="B203" s="1" t="s">
        <v>610</v>
      </c>
      <c r="C203" s="1" t="s">
        <v>610</v>
      </c>
      <c r="D203" s="1" t="s">
        <v>614</v>
      </c>
      <c r="E203" s="1" t="s">
        <v>38</v>
      </c>
      <c r="F203" s="1" t="s">
        <v>39</v>
      </c>
      <c r="G203" s="2">
        <v>-15040</v>
      </c>
      <c r="H203" s="2">
        <v>4870737.6399999997</v>
      </c>
      <c r="I203" s="1" t="s">
        <v>40</v>
      </c>
      <c r="J203" s="1" t="s">
        <v>49</v>
      </c>
      <c r="K203" s="1" t="s">
        <v>283</v>
      </c>
      <c r="L203" s="1" t="s">
        <v>39</v>
      </c>
      <c r="M203" s="1" t="s">
        <v>615</v>
      </c>
      <c r="P203">
        <v>395390</v>
      </c>
      <c r="Q203" t="s">
        <v>1609</v>
      </c>
      <c r="R203" t="s">
        <v>1257</v>
      </c>
      <c r="S203" t="s">
        <v>1258</v>
      </c>
      <c r="T203" t="s">
        <v>1259</v>
      </c>
      <c r="U203">
        <v>15040</v>
      </c>
      <c r="V203" s="8">
        <f>G203+U203</f>
        <v>0</v>
      </c>
      <c r="W203">
        <v>0</v>
      </c>
      <c r="X203">
        <v>82</v>
      </c>
      <c r="Y203">
        <v>0</v>
      </c>
      <c r="Z203">
        <v>0</v>
      </c>
      <c r="AA203">
        <v>0</v>
      </c>
      <c r="AB203">
        <v>2710731.8</v>
      </c>
      <c r="AC203" s="4">
        <v>46267</v>
      </c>
      <c r="AD203" t="s">
        <v>1862</v>
      </c>
      <c r="AE203" t="s">
        <v>613</v>
      </c>
      <c r="AH203" t="s">
        <v>1614</v>
      </c>
      <c r="AI203" t="s">
        <v>1261</v>
      </c>
      <c r="AJ203" t="s">
        <v>1262</v>
      </c>
      <c r="AK203">
        <v>765244</v>
      </c>
      <c r="AL203" t="s">
        <v>1614</v>
      </c>
      <c r="AM203" t="s">
        <v>1263</v>
      </c>
      <c r="AN203" t="s">
        <v>1863</v>
      </c>
      <c r="AO203" t="s">
        <v>1864</v>
      </c>
      <c r="AP203" s="5">
        <v>46267.692361111112</v>
      </c>
      <c r="AQ203" t="s">
        <v>1266</v>
      </c>
      <c r="AR203" t="s">
        <v>1267</v>
      </c>
      <c r="AS203" t="s">
        <v>1268</v>
      </c>
      <c r="AT203" t="s">
        <v>1269</v>
      </c>
      <c r="AU203" t="s">
        <v>1270</v>
      </c>
    </row>
    <row r="204" spans="1:47" x14ac:dyDescent="0.25">
      <c r="A204" s="1" t="s">
        <v>536</v>
      </c>
      <c r="B204" s="1" t="s">
        <v>511</v>
      </c>
      <c r="C204" s="1" t="s">
        <v>537</v>
      </c>
      <c r="D204" s="1" t="s">
        <v>538</v>
      </c>
      <c r="E204" s="1" t="s">
        <v>38</v>
      </c>
      <c r="F204" s="1" t="s">
        <v>39</v>
      </c>
      <c r="G204" s="2">
        <v>-23539</v>
      </c>
      <c r="H204" s="2">
        <v>4623301.6399999997</v>
      </c>
      <c r="I204" s="1" t="s">
        <v>40</v>
      </c>
      <c r="J204" s="1" t="s">
        <v>49</v>
      </c>
      <c r="K204" s="1" t="s">
        <v>279</v>
      </c>
      <c r="L204" s="1" t="s">
        <v>39</v>
      </c>
      <c r="M204" s="1" t="s">
        <v>539</v>
      </c>
      <c r="P204">
        <v>395390</v>
      </c>
      <c r="Q204" t="s">
        <v>1609</v>
      </c>
      <c r="R204" t="s">
        <v>1257</v>
      </c>
      <c r="S204" t="s">
        <v>1258</v>
      </c>
      <c r="T204" t="s">
        <v>1259</v>
      </c>
      <c r="U204">
        <v>23539</v>
      </c>
      <c r="V204" s="8">
        <f>G204+U204</f>
        <v>0</v>
      </c>
      <c r="W204">
        <v>0</v>
      </c>
      <c r="X204">
        <v>87</v>
      </c>
      <c r="Y204">
        <v>0</v>
      </c>
      <c r="Z204">
        <v>0</v>
      </c>
      <c r="AA204">
        <v>0</v>
      </c>
      <c r="AB204">
        <v>2679439.7999999998</v>
      </c>
      <c r="AC204" s="4">
        <v>46267</v>
      </c>
      <c r="AD204" t="s">
        <v>1868</v>
      </c>
      <c r="AE204" t="s">
        <v>536</v>
      </c>
      <c r="AH204" t="s">
        <v>1564</v>
      </c>
      <c r="AI204" t="s">
        <v>1261</v>
      </c>
      <c r="AJ204" t="s">
        <v>1262</v>
      </c>
      <c r="AK204">
        <v>852648</v>
      </c>
      <c r="AL204" t="s">
        <v>1564</v>
      </c>
      <c r="AM204" t="s">
        <v>1263</v>
      </c>
      <c r="AN204" t="s">
        <v>1869</v>
      </c>
      <c r="AO204" t="s">
        <v>1870</v>
      </c>
      <c r="AP204" s="5">
        <v>46267.692361111112</v>
      </c>
      <c r="AQ204" t="s">
        <v>1266</v>
      </c>
      <c r="AR204" t="s">
        <v>1267</v>
      </c>
      <c r="AS204" t="s">
        <v>1268</v>
      </c>
      <c r="AT204" t="s">
        <v>1269</v>
      </c>
      <c r="AU204" t="s">
        <v>1270</v>
      </c>
    </row>
    <row r="205" spans="1:47" x14ac:dyDescent="0.25">
      <c r="A205" s="1" t="s">
        <v>529</v>
      </c>
      <c r="B205" s="1" t="s">
        <v>526</v>
      </c>
      <c r="C205" s="1" t="s">
        <v>530</v>
      </c>
      <c r="D205" s="1" t="s">
        <v>531</v>
      </c>
      <c r="E205" s="1" t="s">
        <v>38</v>
      </c>
      <c r="F205" s="1" t="s">
        <v>39</v>
      </c>
      <c r="G205" s="2">
        <v>-22961</v>
      </c>
      <c r="H205" s="2">
        <v>4573644.6399999997</v>
      </c>
      <c r="I205" s="1" t="s">
        <v>40</v>
      </c>
      <c r="J205" s="1" t="s">
        <v>49</v>
      </c>
      <c r="K205" s="1" t="s">
        <v>279</v>
      </c>
      <c r="L205" s="1" t="s">
        <v>39</v>
      </c>
      <c r="M205" s="1" t="s">
        <v>532</v>
      </c>
      <c r="P205">
        <v>395390</v>
      </c>
      <c r="Q205" t="s">
        <v>1609</v>
      </c>
      <c r="R205" t="s">
        <v>1257</v>
      </c>
      <c r="S205" t="s">
        <v>1258</v>
      </c>
      <c r="T205" t="s">
        <v>1259</v>
      </c>
      <c r="U205">
        <v>22961</v>
      </c>
      <c r="V205" s="8">
        <f>G205+U205</f>
        <v>0</v>
      </c>
      <c r="W205">
        <v>0</v>
      </c>
      <c r="X205">
        <v>87</v>
      </c>
      <c r="Y205">
        <v>0</v>
      </c>
      <c r="Z205">
        <v>0</v>
      </c>
      <c r="AA205">
        <v>0</v>
      </c>
      <c r="AB205">
        <v>2376079.7999999998</v>
      </c>
      <c r="AC205" s="4">
        <v>46267</v>
      </c>
      <c r="AD205" t="s">
        <v>1917</v>
      </c>
      <c r="AE205" t="s">
        <v>529</v>
      </c>
      <c r="AH205" t="s">
        <v>1564</v>
      </c>
      <c r="AI205" t="s">
        <v>1261</v>
      </c>
      <c r="AJ205" t="s">
        <v>1262</v>
      </c>
      <c r="AK205">
        <v>852648</v>
      </c>
      <c r="AL205" t="s">
        <v>1564</v>
      </c>
      <c r="AM205" t="s">
        <v>1263</v>
      </c>
      <c r="AN205" t="s">
        <v>1918</v>
      </c>
      <c r="AO205" t="s">
        <v>1919</v>
      </c>
      <c r="AP205" s="5">
        <v>46267.692361111112</v>
      </c>
      <c r="AQ205" t="s">
        <v>1266</v>
      </c>
      <c r="AR205" t="s">
        <v>1267</v>
      </c>
      <c r="AS205" t="s">
        <v>1268</v>
      </c>
      <c r="AT205" t="s">
        <v>1269</v>
      </c>
      <c r="AU205" t="s">
        <v>1270</v>
      </c>
    </row>
    <row r="206" spans="1:47" x14ac:dyDescent="0.25">
      <c r="A206" s="1" t="s">
        <v>574</v>
      </c>
      <c r="B206" s="1" t="s">
        <v>556</v>
      </c>
      <c r="C206" s="1" t="s">
        <v>556</v>
      </c>
      <c r="D206" s="1" t="s">
        <v>575</v>
      </c>
      <c r="E206" s="1" t="s">
        <v>38</v>
      </c>
      <c r="F206" s="1" t="s">
        <v>39</v>
      </c>
      <c r="G206" s="2">
        <v>-13267</v>
      </c>
      <c r="H206" s="2">
        <v>4744048.6399999997</v>
      </c>
      <c r="I206" s="1" t="s">
        <v>40</v>
      </c>
      <c r="J206" s="1" t="s">
        <v>49</v>
      </c>
      <c r="K206" s="1" t="s">
        <v>283</v>
      </c>
      <c r="L206" s="1" t="s">
        <v>39</v>
      </c>
      <c r="M206" s="1" t="s">
        <v>576</v>
      </c>
      <c r="P206">
        <v>395390</v>
      </c>
      <c r="Q206" t="s">
        <v>1609</v>
      </c>
      <c r="R206" t="s">
        <v>1257</v>
      </c>
      <c r="S206" t="s">
        <v>1258</v>
      </c>
      <c r="T206" t="s">
        <v>1259</v>
      </c>
      <c r="U206">
        <v>13267</v>
      </c>
      <c r="V206" s="8">
        <f>G206+U206</f>
        <v>0</v>
      </c>
      <c r="W206">
        <v>0</v>
      </c>
      <c r="X206">
        <v>72</v>
      </c>
      <c r="Y206">
        <v>0</v>
      </c>
      <c r="Z206">
        <v>0</v>
      </c>
      <c r="AA206">
        <v>0</v>
      </c>
      <c r="AB206">
        <v>2822824.8</v>
      </c>
      <c r="AC206" s="4">
        <v>46267</v>
      </c>
      <c r="AD206" t="s">
        <v>1835</v>
      </c>
      <c r="AE206" t="s">
        <v>574</v>
      </c>
      <c r="AH206" t="s">
        <v>1614</v>
      </c>
      <c r="AI206" t="s">
        <v>1261</v>
      </c>
      <c r="AJ206" t="s">
        <v>1262</v>
      </c>
      <c r="AK206">
        <v>765244</v>
      </c>
      <c r="AL206" t="s">
        <v>1614</v>
      </c>
      <c r="AM206" t="s">
        <v>1263</v>
      </c>
      <c r="AN206" t="s">
        <v>1836</v>
      </c>
      <c r="AO206" t="s">
        <v>1837</v>
      </c>
      <c r="AP206" s="5">
        <v>46267.692361111112</v>
      </c>
      <c r="AQ206" t="s">
        <v>1266</v>
      </c>
      <c r="AR206" t="s">
        <v>1267</v>
      </c>
      <c r="AS206" t="s">
        <v>1268</v>
      </c>
      <c r="AT206" t="s">
        <v>1269</v>
      </c>
      <c r="AU206" t="s">
        <v>1270</v>
      </c>
    </row>
    <row r="207" spans="1:47" x14ac:dyDescent="0.25">
      <c r="A207" s="1" t="s">
        <v>504</v>
      </c>
      <c r="B207" s="1" t="s">
        <v>498</v>
      </c>
      <c r="C207" s="1" t="s">
        <v>498</v>
      </c>
      <c r="D207" s="1" t="s">
        <v>505</v>
      </c>
      <c r="E207" s="1" t="s">
        <v>38</v>
      </c>
      <c r="F207" s="1" t="s">
        <v>39</v>
      </c>
      <c r="G207" s="2">
        <v>-68594</v>
      </c>
      <c r="H207" s="2">
        <v>4444944.6399999997</v>
      </c>
      <c r="I207" s="1" t="s">
        <v>40</v>
      </c>
      <c r="J207" s="1" t="s">
        <v>49</v>
      </c>
      <c r="K207" s="1" t="s">
        <v>283</v>
      </c>
      <c r="L207" s="1" t="s">
        <v>39</v>
      </c>
      <c r="M207" s="1" t="s">
        <v>506</v>
      </c>
      <c r="P207">
        <v>395390</v>
      </c>
      <c r="Q207" t="s">
        <v>1609</v>
      </c>
      <c r="R207" t="s">
        <v>1257</v>
      </c>
      <c r="S207" t="s">
        <v>1258</v>
      </c>
      <c r="T207" t="s">
        <v>1259</v>
      </c>
      <c r="U207">
        <v>68594</v>
      </c>
      <c r="V207" s="8">
        <f>G207+U207</f>
        <v>0</v>
      </c>
      <c r="W207">
        <v>0</v>
      </c>
      <c r="X207">
        <v>136</v>
      </c>
      <c r="Y207">
        <v>0</v>
      </c>
      <c r="Z207">
        <v>0</v>
      </c>
      <c r="AA207">
        <v>0</v>
      </c>
      <c r="AB207">
        <v>2143075.7999999998</v>
      </c>
      <c r="AC207" s="4">
        <v>46267</v>
      </c>
      <c r="AD207" t="s">
        <v>1953</v>
      </c>
      <c r="AE207" t="s">
        <v>504</v>
      </c>
      <c r="AH207" t="s">
        <v>1614</v>
      </c>
      <c r="AI207" t="s">
        <v>1261</v>
      </c>
      <c r="AJ207" t="s">
        <v>1262</v>
      </c>
      <c r="AK207">
        <v>765244</v>
      </c>
      <c r="AL207" t="s">
        <v>1614</v>
      </c>
      <c r="AM207" t="s">
        <v>1263</v>
      </c>
      <c r="AN207" t="s">
        <v>1954</v>
      </c>
      <c r="AO207" t="s">
        <v>1955</v>
      </c>
      <c r="AP207" s="5">
        <v>46267.692361111112</v>
      </c>
      <c r="AQ207" t="s">
        <v>1266</v>
      </c>
      <c r="AR207" t="s">
        <v>1267</v>
      </c>
      <c r="AS207" t="s">
        <v>1268</v>
      </c>
      <c r="AT207" t="s">
        <v>1269</v>
      </c>
      <c r="AU207" t="s">
        <v>1270</v>
      </c>
    </row>
    <row r="208" spans="1:47" x14ac:dyDescent="0.25">
      <c r="A208" s="1" t="s">
        <v>456</v>
      </c>
      <c r="B208" s="1" t="s">
        <v>457</v>
      </c>
      <c r="C208" s="1" t="s">
        <v>457</v>
      </c>
      <c r="D208" s="1" t="s">
        <v>458</v>
      </c>
      <c r="E208" s="1" t="s">
        <v>38</v>
      </c>
      <c r="F208" s="1" t="s">
        <v>39</v>
      </c>
      <c r="G208" s="2">
        <v>-310</v>
      </c>
      <c r="H208" s="2">
        <v>4180566.64</v>
      </c>
      <c r="I208" s="1" t="s">
        <v>40</v>
      </c>
      <c r="J208" s="1" t="s">
        <v>41</v>
      </c>
      <c r="K208" s="1" t="s">
        <v>459</v>
      </c>
      <c r="L208" s="1" t="s">
        <v>39</v>
      </c>
      <c r="M208" s="1" t="s">
        <v>39</v>
      </c>
      <c r="P208">
        <v>1319094</v>
      </c>
      <c r="Q208" t="s">
        <v>1982</v>
      </c>
      <c r="R208" t="s">
        <v>1286</v>
      </c>
      <c r="T208" t="s">
        <v>1259</v>
      </c>
      <c r="U208">
        <v>310</v>
      </c>
      <c r="V208" s="8">
        <f>G208+U208</f>
        <v>0</v>
      </c>
      <c r="W208">
        <v>0</v>
      </c>
      <c r="X208">
        <v>10</v>
      </c>
      <c r="Y208">
        <v>2</v>
      </c>
      <c r="Z208">
        <v>0</v>
      </c>
      <c r="AA208">
        <v>0</v>
      </c>
      <c r="AB208">
        <v>80111.990000000005</v>
      </c>
      <c r="AC208" s="4">
        <v>46267</v>
      </c>
      <c r="AD208" t="s">
        <v>1983</v>
      </c>
      <c r="AE208" t="s">
        <v>456</v>
      </c>
      <c r="AI208" t="s">
        <v>1261</v>
      </c>
      <c r="AJ208" t="s">
        <v>1262</v>
      </c>
      <c r="AK208">
        <v>1319094</v>
      </c>
      <c r="AM208" t="s">
        <v>1263</v>
      </c>
      <c r="AN208" t="s">
        <v>1984</v>
      </c>
      <c r="AO208" t="s">
        <v>1985</v>
      </c>
      <c r="AP208" s="5">
        <v>46267.697916666664</v>
      </c>
      <c r="AQ208" t="s">
        <v>1266</v>
      </c>
      <c r="AS208" t="s">
        <v>1268</v>
      </c>
      <c r="AT208" t="s">
        <v>1269</v>
      </c>
      <c r="AU208" t="s">
        <v>1270</v>
      </c>
    </row>
    <row r="209" spans="1:47" x14ac:dyDescent="0.25">
      <c r="A209" s="1" t="s">
        <v>384</v>
      </c>
      <c r="B209" s="1" t="s">
        <v>385</v>
      </c>
      <c r="C209" s="1" t="s">
        <v>386</v>
      </c>
      <c r="D209" s="1" t="s">
        <v>387</v>
      </c>
      <c r="E209" s="1" t="s">
        <v>38</v>
      </c>
      <c r="F209" s="1" t="s">
        <v>39</v>
      </c>
      <c r="G209" s="2">
        <v>-1721</v>
      </c>
      <c r="H209" s="2">
        <v>3988620.64</v>
      </c>
      <c r="I209" s="1" t="s">
        <v>40</v>
      </c>
      <c r="J209" s="1" t="s">
        <v>49</v>
      </c>
      <c r="K209" s="1" t="s">
        <v>289</v>
      </c>
      <c r="L209" s="1" t="s">
        <v>39</v>
      </c>
      <c r="M209" s="1" t="s">
        <v>388</v>
      </c>
      <c r="P209">
        <v>395390</v>
      </c>
      <c r="Q209" t="s">
        <v>1609</v>
      </c>
      <c r="R209" t="s">
        <v>1257</v>
      </c>
      <c r="S209" t="s">
        <v>1258</v>
      </c>
      <c r="T209" t="s">
        <v>1259</v>
      </c>
      <c r="U209">
        <v>1721</v>
      </c>
      <c r="V209" s="8">
        <f>G209+U209</f>
        <v>0</v>
      </c>
      <c r="W209">
        <v>0</v>
      </c>
      <c r="X209">
        <v>35</v>
      </c>
      <c r="Y209">
        <v>0</v>
      </c>
      <c r="Z209">
        <v>0</v>
      </c>
      <c r="AA209">
        <v>0</v>
      </c>
      <c r="AB209">
        <v>1030331.8</v>
      </c>
      <c r="AC209" s="4">
        <v>46267</v>
      </c>
      <c r="AD209" t="s">
        <v>2046</v>
      </c>
      <c r="AE209" t="s">
        <v>384</v>
      </c>
      <c r="AH209" t="s">
        <v>1627</v>
      </c>
      <c r="AI209" t="s">
        <v>1261</v>
      </c>
      <c r="AJ209" t="s">
        <v>1262</v>
      </c>
      <c r="AK209">
        <v>350050</v>
      </c>
      <c r="AL209" t="s">
        <v>1627</v>
      </c>
      <c r="AM209" t="s">
        <v>1263</v>
      </c>
      <c r="AN209" t="s">
        <v>2047</v>
      </c>
      <c r="AO209" t="s">
        <v>2048</v>
      </c>
      <c r="AP209" s="5">
        <v>46267.705555555556</v>
      </c>
      <c r="AQ209" t="s">
        <v>1266</v>
      </c>
      <c r="AR209" t="s">
        <v>1267</v>
      </c>
      <c r="AS209" t="s">
        <v>1268</v>
      </c>
      <c r="AT209" t="s">
        <v>1269</v>
      </c>
      <c r="AU209" t="s">
        <v>1270</v>
      </c>
    </row>
    <row r="210" spans="1:47" x14ac:dyDescent="0.25">
      <c r="A210" s="1" t="s">
        <v>328</v>
      </c>
      <c r="B210" s="1" t="s">
        <v>329</v>
      </c>
      <c r="C210" s="1" t="s">
        <v>329</v>
      </c>
      <c r="D210" s="1" t="s">
        <v>330</v>
      </c>
      <c r="E210" s="1" t="s">
        <v>38</v>
      </c>
      <c r="F210" s="1" t="s">
        <v>39</v>
      </c>
      <c r="G210" s="2">
        <v>-723</v>
      </c>
      <c r="H210" s="2">
        <v>3889336.64</v>
      </c>
      <c r="I210" s="1" t="s">
        <v>40</v>
      </c>
      <c r="J210" s="1" t="s">
        <v>49</v>
      </c>
      <c r="K210" s="1" t="s">
        <v>283</v>
      </c>
      <c r="L210" s="1" t="s">
        <v>39</v>
      </c>
      <c r="M210" s="1" t="s">
        <v>331</v>
      </c>
      <c r="P210">
        <v>395390</v>
      </c>
      <c r="Q210" t="s">
        <v>1609</v>
      </c>
      <c r="R210" t="s">
        <v>1257</v>
      </c>
      <c r="S210" t="s">
        <v>1258</v>
      </c>
      <c r="T210" t="s">
        <v>1259</v>
      </c>
      <c r="U210">
        <v>723</v>
      </c>
      <c r="V210" s="8">
        <f>G210+U210</f>
        <v>0</v>
      </c>
      <c r="W210">
        <v>0</v>
      </c>
      <c r="X210">
        <v>20</v>
      </c>
      <c r="Y210">
        <v>0</v>
      </c>
      <c r="Z210">
        <v>0</v>
      </c>
      <c r="AA210">
        <v>0</v>
      </c>
      <c r="AB210">
        <v>453193.8</v>
      </c>
      <c r="AC210" s="4">
        <v>46267</v>
      </c>
      <c r="AD210" t="s">
        <v>2092</v>
      </c>
      <c r="AE210" t="s">
        <v>328</v>
      </c>
      <c r="AH210" t="s">
        <v>1614</v>
      </c>
      <c r="AI210" t="s">
        <v>1261</v>
      </c>
      <c r="AJ210" t="s">
        <v>1262</v>
      </c>
      <c r="AK210">
        <v>765244</v>
      </c>
      <c r="AL210" t="s">
        <v>1614</v>
      </c>
      <c r="AM210" t="s">
        <v>1263</v>
      </c>
      <c r="AN210" t="s">
        <v>2093</v>
      </c>
      <c r="AO210" t="s">
        <v>2094</v>
      </c>
      <c r="AP210" s="5">
        <v>46267.715277777781</v>
      </c>
      <c r="AQ210" t="s">
        <v>1266</v>
      </c>
      <c r="AR210" t="s">
        <v>1267</v>
      </c>
      <c r="AS210" t="s">
        <v>1268</v>
      </c>
      <c r="AT210" t="s">
        <v>1269</v>
      </c>
      <c r="AU210" t="s">
        <v>1270</v>
      </c>
    </row>
    <row r="211" spans="1:47" x14ac:dyDescent="0.25">
      <c r="A211" s="1" t="s">
        <v>253</v>
      </c>
      <c r="B211" s="1" t="s">
        <v>254</v>
      </c>
      <c r="C211" s="1" t="s">
        <v>255</v>
      </c>
      <c r="D211" s="1" t="s">
        <v>256</v>
      </c>
      <c r="E211" s="1" t="s">
        <v>38</v>
      </c>
      <c r="F211" s="1" t="s">
        <v>39</v>
      </c>
      <c r="G211" s="2">
        <v>-3380</v>
      </c>
      <c r="H211" s="2">
        <v>3763063.64</v>
      </c>
      <c r="I211" s="1" t="s">
        <v>40</v>
      </c>
      <c r="J211" s="1" t="s">
        <v>41</v>
      </c>
      <c r="K211" s="1" t="s">
        <v>257</v>
      </c>
      <c r="L211" s="1" t="s">
        <v>39</v>
      </c>
      <c r="M211" s="1" t="s">
        <v>39</v>
      </c>
      <c r="P211">
        <v>784176</v>
      </c>
      <c r="Q211" t="s">
        <v>1256</v>
      </c>
      <c r="R211" t="s">
        <v>1257</v>
      </c>
      <c r="S211" t="s">
        <v>1258</v>
      </c>
      <c r="T211" t="s">
        <v>1259</v>
      </c>
      <c r="U211">
        <v>3380</v>
      </c>
      <c r="V211" s="8">
        <f>G211+U211</f>
        <v>0</v>
      </c>
      <c r="W211">
        <v>0</v>
      </c>
      <c r="X211">
        <v>15</v>
      </c>
      <c r="Y211">
        <v>0</v>
      </c>
      <c r="Z211">
        <v>1</v>
      </c>
      <c r="AA211">
        <v>0</v>
      </c>
      <c r="AB211">
        <v>111717.97500000001</v>
      </c>
      <c r="AC211" s="4">
        <v>46267</v>
      </c>
      <c r="AD211" t="s">
        <v>2154</v>
      </c>
      <c r="AE211" t="s">
        <v>253</v>
      </c>
      <c r="AI211" t="s">
        <v>1261</v>
      </c>
      <c r="AJ211" t="s">
        <v>1262</v>
      </c>
      <c r="AK211">
        <v>5210479</v>
      </c>
      <c r="AM211" t="s">
        <v>1263</v>
      </c>
      <c r="AN211" t="s">
        <v>2155</v>
      </c>
      <c r="AO211" t="s">
        <v>2156</v>
      </c>
      <c r="AP211" s="5">
        <v>46267.731944444444</v>
      </c>
      <c r="AQ211" t="s">
        <v>1266</v>
      </c>
      <c r="AR211" t="s">
        <v>1267</v>
      </c>
      <c r="AS211" t="s">
        <v>1268</v>
      </c>
      <c r="AT211" t="s">
        <v>1269</v>
      </c>
      <c r="AU211" t="s">
        <v>1270</v>
      </c>
    </row>
    <row r="212" spans="1:47" x14ac:dyDescent="0.25">
      <c r="A212" s="1" t="s">
        <v>240</v>
      </c>
      <c r="B212" s="1" t="s">
        <v>241</v>
      </c>
      <c r="C212" s="1" t="s">
        <v>241</v>
      </c>
      <c r="D212" s="1" t="s">
        <v>242</v>
      </c>
      <c r="E212" s="1" t="s">
        <v>38</v>
      </c>
      <c r="F212" s="1" t="s">
        <v>39</v>
      </c>
      <c r="G212" s="2">
        <v>-19999</v>
      </c>
      <c r="H212" s="2">
        <v>3715432.64</v>
      </c>
      <c r="I212" s="1" t="s">
        <v>40</v>
      </c>
      <c r="J212" s="1" t="s">
        <v>49</v>
      </c>
      <c r="K212" s="1" t="s">
        <v>243</v>
      </c>
      <c r="L212" s="1" t="s">
        <v>39</v>
      </c>
      <c r="M212" s="1" t="s">
        <v>244</v>
      </c>
      <c r="P212">
        <v>458445</v>
      </c>
      <c r="Q212" t="s">
        <v>1332</v>
      </c>
      <c r="R212" t="s">
        <v>1257</v>
      </c>
      <c r="S212" t="s">
        <v>1258</v>
      </c>
      <c r="T212" t="s">
        <v>1259</v>
      </c>
      <c r="U212">
        <v>19999</v>
      </c>
      <c r="V212" s="8">
        <f>G212+U212</f>
        <v>0</v>
      </c>
      <c r="W212">
        <v>0</v>
      </c>
      <c r="X212">
        <v>82</v>
      </c>
      <c r="Y212">
        <v>0</v>
      </c>
      <c r="Z212">
        <v>1</v>
      </c>
      <c r="AA212">
        <v>0</v>
      </c>
      <c r="AB212">
        <v>32107.687999999998</v>
      </c>
      <c r="AC212" s="4">
        <v>46267</v>
      </c>
      <c r="AD212" t="s">
        <v>2164</v>
      </c>
      <c r="AE212" t="s">
        <v>240</v>
      </c>
      <c r="AH212" t="s">
        <v>2165</v>
      </c>
      <c r="AI212" t="s">
        <v>1261</v>
      </c>
      <c r="AJ212" t="s">
        <v>1262</v>
      </c>
      <c r="AK212">
        <v>4113485</v>
      </c>
      <c r="AL212" t="s">
        <v>2165</v>
      </c>
      <c r="AM212" t="s">
        <v>1263</v>
      </c>
      <c r="AN212" t="s">
        <v>2166</v>
      </c>
      <c r="AO212" t="s">
        <v>244</v>
      </c>
      <c r="AP212" s="5">
        <v>46267.740277777775</v>
      </c>
      <c r="AQ212" t="s">
        <v>1266</v>
      </c>
      <c r="AS212" t="s">
        <v>1268</v>
      </c>
      <c r="AT212" t="s">
        <v>1269</v>
      </c>
      <c r="AU212" t="s">
        <v>1270</v>
      </c>
    </row>
    <row r="213" spans="1:47" x14ac:dyDescent="0.25">
      <c r="A213" s="1" t="s">
        <v>232</v>
      </c>
      <c r="B213" s="1" t="s">
        <v>233</v>
      </c>
      <c r="C213" s="1" t="s">
        <v>233</v>
      </c>
      <c r="D213" s="1" t="s">
        <v>234</v>
      </c>
      <c r="E213" s="1" t="s">
        <v>38</v>
      </c>
      <c r="F213" s="1" t="s">
        <v>39</v>
      </c>
      <c r="G213" s="2">
        <v>-1663</v>
      </c>
      <c r="H213" s="2">
        <v>3712688.64</v>
      </c>
      <c r="I213" s="1" t="s">
        <v>40</v>
      </c>
      <c r="J213" s="1" t="s">
        <v>41</v>
      </c>
      <c r="K213" s="1" t="s">
        <v>235</v>
      </c>
      <c r="L213" s="1" t="s">
        <v>39</v>
      </c>
      <c r="M213" s="1" t="s">
        <v>39</v>
      </c>
      <c r="O213">
        <v>756756</v>
      </c>
      <c r="P213">
        <v>254708582465</v>
      </c>
      <c r="Q213" t="s">
        <v>2169</v>
      </c>
      <c r="R213" t="s">
        <v>1386</v>
      </c>
      <c r="T213" t="s">
        <v>1259</v>
      </c>
      <c r="U213">
        <v>1663</v>
      </c>
      <c r="V213" s="8">
        <f>G213+U213</f>
        <v>0</v>
      </c>
      <c r="W213">
        <v>0</v>
      </c>
      <c r="X213">
        <v>10</v>
      </c>
      <c r="Y213">
        <v>0</v>
      </c>
      <c r="Z213">
        <v>0</v>
      </c>
      <c r="AA213">
        <v>0</v>
      </c>
      <c r="AB213">
        <v>22636.14</v>
      </c>
      <c r="AC213" s="4">
        <v>46267</v>
      </c>
      <c r="AD213" t="s">
        <v>2170</v>
      </c>
      <c r="AE213" t="s">
        <v>232</v>
      </c>
      <c r="AI213" t="s">
        <v>1261</v>
      </c>
      <c r="AJ213" t="s">
        <v>1262</v>
      </c>
      <c r="AK213">
        <v>9481423</v>
      </c>
      <c r="AM213" t="s">
        <v>1263</v>
      </c>
      <c r="AN213" t="s">
        <v>2171</v>
      </c>
      <c r="AO213" t="s">
        <v>2171</v>
      </c>
      <c r="AP213" s="5">
        <v>46267.77847222222</v>
      </c>
      <c r="AQ213" t="s">
        <v>1266</v>
      </c>
      <c r="AR213" t="s">
        <v>1293</v>
      </c>
      <c r="AS213" t="s">
        <v>1268</v>
      </c>
      <c r="AT213" t="s">
        <v>1269</v>
      </c>
      <c r="AU213" t="s">
        <v>1270</v>
      </c>
    </row>
    <row r="214" spans="1:47" x14ac:dyDescent="0.25">
      <c r="A214" s="1" t="s">
        <v>876</v>
      </c>
      <c r="B214" s="1" t="s">
        <v>877</v>
      </c>
      <c r="C214" s="1" t="s">
        <v>878</v>
      </c>
      <c r="D214" s="1" t="s">
        <v>879</v>
      </c>
      <c r="E214" s="1" t="s">
        <v>38</v>
      </c>
      <c r="F214" s="1" t="s">
        <v>39</v>
      </c>
      <c r="G214" s="2">
        <v>-30000</v>
      </c>
      <c r="H214" s="2">
        <v>5479219.6399999997</v>
      </c>
      <c r="I214" s="1" t="s">
        <v>40</v>
      </c>
      <c r="J214" s="1" t="s">
        <v>49</v>
      </c>
      <c r="K214" s="1" t="s">
        <v>880</v>
      </c>
      <c r="L214" s="1" t="s">
        <v>39</v>
      </c>
      <c r="M214" s="1" t="s">
        <v>881</v>
      </c>
      <c r="P214">
        <v>1371424</v>
      </c>
      <c r="Q214" t="s">
        <v>1599</v>
      </c>
      <c r="R214" t="s">
        <v>1286</v>
      </c>
      <c r="T214" t="s">
        <v>1259</v>
      </c>
      <c r="U214">
        <v>30000</v>
      </c>
      <c r="V214" s="8">
        <f>G214+U214</f>
        <v>0</v>
      </c>
      <c r="W214">
        <v>0</v>
      </c>
      <c r="X214">
        <v>92</v>
      </c>
      <c r="Y214">
        <v>120</v>
      </c>
      <c r="Z214">
        <v>0</v>
      </c>
      <c r="AA214">
        <v>0</v>
      </c>
      <c r="AB214">
        <v>25581</v>
      </c>
      <c r="AC214" s="4">
        <v>46267</v>
      </c>
      <c r="AD214" t="s">
        <v>1600</v>
      </c>
      <c r="AE214" t="s">
        <v>876</v>
      </c>
      <c r="AH214" t="s">
        <v>1407</v>
      </c>
      <c r="AI214" t="s">
        <v>1261</v>
      </c>
      <c r="AJ214" t="s">
        <v>1262</v>
      </c>
      <c r="AK214">
        <v>1371424</v>
      </c>
      <c r="AL214" t="s">
        <v>1407</v>
      </c>
      <c r="AM214" t="s">
        <v>1263</v>
      </c>
      <c r="AN214" t="s">
        <v>1601</v>
      </c>
      <c r="AO214" t="s">
        <v>1602</v>
      </c>
      <c r="AP214" s="5">
        <v>46267.672222222223</v>
      </c>
      <c r="AQ214" t="s">
        <v>1266</v>
      </c>
      <c r="AS214" t="s">
        <v>1268</v>
      </c>
      <c r="AT214" t="s">
        <v>1269</v>
      </c>
      <c r="AU214" t="s">
        <v>1270</v>
      </c>
    </row>
    <row r="215" spans="1:47" x14ac:dyDescent="0.25">
      <c r="A215" s="1" t="s">
        <v>840</v>
      </c>
      <c r="B215" s="1" t="s">
        <v>833</v>
      </c>
      <c r="C215" s="1" t="s">
        <v>833</v>
      </c>
      <c r="D215" s="1" t="s">
        <v>841</v>
      </c>
      <c r="E215" s="1" t="s">
        <v>38</v>
      </c>
      <c r="F215" s="1" t="s">
        <v>39</v>
      </c>
      <c r="G215" s="2">
        <v>-6275</v>
      </c>
      <c r="H215" s="2">
        <v>5352868.6399999997</v>
      </c>
      <c r="I215" s="1" t="s">
        <v>40</v>
      </c>
      <c r="J215" s="1" t="s">
        <v>49</v>
      </c>
      <c r="K215" s="1" t="s">
        <v>283</v>
      </c>
      <c r="L215" s="1" t="s">
        <v>39</v>
      </c>
      <c r="M215" s="1" t="s">
        <v>842</v>
      </c>
      <c r="P215">
        <v>395390</v>
      </c>
      <c r="Q215" t="s">
        <v>1609</v>
      </c>
      <c r="R215" t="s">
        <v>1257</v>
      </c>
      <c r="S215" t="s">
        <v>1258</v>
      </c>
      <c r="T215" t="s">
        <v>1259</v>
      </c>
      <c r="U215">
        <v>6275</v>
      </c>
      <c r="V215" s="8">
        <f>G215+U215</f>
        <v>0</v>
      </c>
      <c r="W215">
        <v>0</v>
      </c>
      <c r="X215">
        <v>57</v>
      </c>
      <c r="Y215">
        <v>0</v>
      </c>
      <c r="Z215">
        <v>0</v>
      </c>
      <c r="AA215">
        <v>0</v>
      </c>
      <c r="AB215">
        <v>4223926</v>
      </c>
      <c r="AC215" s="4">
        <v>46267</v>
      </c>
      <c r="AD215" t="s">
        <v>1642</v>
      </c>
      <c r="AE215" t="s">
        <v>840</v>
      </c>
      <c r="AH215" t="s">
        <v>1614</v>
      </c>
      <c r="AI215" t="s">
        <v>1261</v>
      </c>
      <c r="AJ215" t="s">
        <v>1262</v>
      </c>
      <c r="AK215">
        <v>765244</v>
      </c>
      <c r="AL215" t="s">
        <v>1614</v>
      </c>
      <c r="AM215" t="s">
        <v>1263</v>
      </c>
      <c r="AN215" t="s">
        <v>1643</v>
      </c>
      <c r="AO215" t="s">
        <v>1644</v>
      </c>
      <c r="AP215" s="5">
        <v>46267.684027777781</v>
      </c>
      <c r="AQ215" t="s">
        <v>1266</v>
      </c>
      <c r="AR215" t="s">
        <v>1267</v>
      </c>
      <c r="AS215" t="s">
        <v>1268</v>
      </c>
      <c r="AT215" t="s">
        <v>1269</v>
      </c>
      <c r="AU215" t="s">
        <v>1270</v>
      </c>
    </row>
    <row r="216" spans="1:47" x14ac:dyDescent="0.25">
      <c r="A216" s="1" t="s">
        <v>814</v>
      </c>
      <c r="B216" s="1" t="s">
        <v>807</v>
      </c>
      <c r="C216" s="1" t="s">
        <v>811</v>
      </c>
      <c r="D216" s="1" t="s">
        <v>815</v>
      </c>
      <c r="E216" s="1" t="s">
        <v>38</v>
      </c>
      <c r="F216" s="1" t="s">
        <v>39</v>
      </c>
      <c r="G216" s="2">
        <v>-5976</v>
      </c>
      <c r="H216" s="2">
        <v>5323381.6399999997</v>
      </c>
      <c r="I216" s="1" t="s">
        <v>40</v>
      </c>
      <c r="J216" s="1" t="s">
        <v>49</v>
      </c>
      <c r="K216" s="1" t="s">
        <v>279</v>
      </c>
      <c r="L216" s="1" t="s">
        <v>39</v>
      </c>
      <c r="M216" s="1" t="s">
        <v>816</v>
      </c>
      <c r="P216">
        <v>395390</v>
      </c>
      <c r="Q216" t="s">
        <v>1609</v>
      </c>
      <c r="R216" t="s">
        <v>1257</v>
      </c>
      <c r="S216" t="s">
        <v>1258</v>
      </c>
      <c r="T216" t="s">
        <v>1259</v>
      </c>
      <c r="U216">
        <v>5976</v>
      </c>
      <c r="V216" s="8">
        <f>G216+U216</f>
        <v>0</v>
      </c>
      <c r="W216">
        <v>0</v>
      </c>
      <c r="X216">
        <v>57</v>
      </c>
      <c r="Y216">
        <v>0</v>
      </c>
      <c r="Z216">
        <v>0</v>
      </c>
      <c r="AA216">
        <v>0</v>
      </c>
      <c r="AB216">
        <v>4056518.8</v>
      </c>
      <c r="AC216" s="4">
        <v>46267</v>
      </c>
      <c r="AD216" t="s">
        <v>1654</v>
      </c>
      <c r="AE216" t="s">
        <v>814</v>
      </c>
      <c r="AH216" t="s">
        <v>1564</v>
      </c>
      <c r="AI216" t="s">
        <v>1261</v>
      </c>
      <c r="AJ216" t="s">
        <v>1262</v>
      </c>
      <c r="AK216">
        <v>852648</v>
      </c>
      <c r="AL216" t="s">
        <v>1564</v>
      </c>
      <c r="AM216" t="s">
        <v>1263</v>
      </c>
      <c r="AN216" t="s">
        <v>1655</v>
      </c>
      <c r="AO216" t="s">
        <v>1656</v>
      </c>
      <c r="AP216" s="5">
        <v>46267.684027777781</v>
      </c>
      <c r="AQ216" t="s">
        <v>1266</v>
      </c>
      <c r="AR216" t="s">
        <v>1267</v>
      </c>
      <c r="AS216" t="s">
        <v>1268</v>
      </c>
      <c r="AT216" t="s">
        <v>1269</v>
      </c>
      <c r="AU216" t="s">
        <v>1270</v>
      </c>
    </row>
    <row r="217" spans="1:47" x14ac:dyDescent="0.25">
      <c r="A217" s="1" t="s">
        <v>776</v>
      </c>
      <c r="B217" s="1" t="s">
        <v>775</v>
      </c>
      <c r="C217" s="1" t="s">
        <v>775</v>
      </c>
      <c r="D217" s="1" t="s">
        <v>676</v>
      </c>
      <c r="E217" s="1" t="s">
        <v>38</v>
      </c>
      <c r="F217" s="1" t="s">
        <v>39</v>
      </c>
      <c r="G217" s="2">
        <v>-134</v>
      </c>
      <c r="H217" s="2">
        <v>5254538.6399999997</v>
      </c>
      <c r="I217" s="1" t="s">
        <v>40</v>
      </c>
      <c r="J217" s="1" t="s">
        <v>49</v>
      </c>
      <c r="K217" s="1" t="s">
        <v>283</v>
      </c>
      <c r="L217" s="1" t="s">
        <v>39</v>
      </c>
      <c r="M217" s="1" t="s">
        <v>677</v>
      </c>
      <c r="P217">
        <v>395390</v>
      </c>
      <c r="Q217" t="s">
        <v>1609</v>
      </c>
      <c r="R217" t="s">
        <v>1257</v>
      </c>
      <c r="S217" t="s">
        <v>1258</v>
      </c>
      <c r="T217" t="s">
        <v>1259</v>
      </c>
      <c r="U217">
        <v>134</v>
      </c>
      <c r="V217" s="8">
        <f>G217+U217</f>
        <v>0</v>
      </c>
      <c r="W217">
        <v>0</v>
      </c>
      <c r="X217">
        <v>10</v>
      </c>
      <c r="Y217">
        <v>0</v>
      </c>
      <c r="Z217">
        <v>0</v>
      </c>
      <c r="AA217">
        <v>0</v>
      </c>
      <c r="AB217">
        <v>3674450.8</v>
      </c>
      <c r="AC217" s="4">
        <v>46267</v>
      </c>
      <c r="AD217" t="s">
        <v>1693</v>
      </c>
      <c r="AE217" t="s">
        <v>776</v>
      </c>
      <c r="AH217" t="s">
        <v>1614</v>
      </c>
      <c r="AI217" t="s">
        <v>1261</v>
      </c>
      <c r="AJ217" t="s">
        <v>1262</v>
      </c>
      <c r="AK217">
        <v>765244</v>
      </c>
      <c r="AL217" t="s">
        <v>1614</v>
      </c>
      <c r="AM217" t="s">
        <v>1263</v>
      </c>
      <c r="AN217" t="s">
        <v>1694</v>
      </c>
      <c r="AO217" t="s">
        <v>1695</v>
      </c>
      <c r="AP217" s="5">
        <v>46267.684027777781</v>
      </c>
      <c r="AQ217" t="s">
        <v>1266</v>
      </c>
      <c r="AR217" t="s">
        <v>1267</v>
      </c>
      <c r="AS217" t="s">
        <v>1268</v>
      </c>
      <c r="AT217" t="s">
        <v>1269</v>
      </c>
      <c r="AU217" t="s">
        <v>1270</v>
      </c>
    </row>
    <row r="218" spans="1:47" x14ac:dyDescent="0.25">
      <c r="A218" s="1" t="s">
        <v>763</v>
      </c>
      <c r="B218" s="1" t="s">
        <v>761</v>
      </c>
      <c r="C218" s="1" t="s">
        <v>761</v>
      </c>
      <c r="D218" s="1" t="s">
        <v>711</v>
      </c>
      <c r="E218" s="1" t="s">
        <v>38</v>
      </c>
      <c r="F218" s="1" t="s">
        <v>39</v>
      </c>
      <c r="G218" s="2">
        <v>-65</v>
      </c>
      <c r="H218" s="2">
        <v>5244863.6399999997</v>
      </c>
      <c r="I218" s="1" t="s">
        <v>40</v>
      </c>
      <c r="J218" s="1" t="s">
        <v>49</v>
      </c>
      <c r="K218" s="1" t="s">
        <v>283</v>
      </c>
      <c r="L218" s="1" t="s">
        <v>39</v>
      </c>
      <c r="M218" s="1" t="s">
        <v>712</v>
      </c>
      <c r="P218">
        <v>395390</v>
      </c>
      <c r="Q218" t="s">
        <v>1609</v>
      </c>
      <c r="R218" t="s">
        <v>1257</v>
      </c>
      <c r="S218" t="s">
        <v>1258</v>
      </c>
      <c r="T218" t="s">
        <v>1259</v>
      </c>
      <c r="U218">
        <v>65</v>
      </c>
      <c r="V218" s="8">
        <f>G218+U218</f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3655835.8</v>
      </c>
      <c r="AC218" s="4">
        <v>46267</v>
      </c>
      <c r="AD218" t="s">
        <v>1705</v>
      </c>
      <c r="AE218" t="s">
        <v>763</v>
      </c>
      <c r="AH218" t="s">
        <v>1614</v>
      </c>
      <c r="AI218" t="s">
        <v>1261</v>
      </c>
      <c r="AJ218" t="s">
        <v>1262</v>
      </c>
      <c r="AK218">
        <v>765244</v>
      </c>
      <c r="AL218" t="s">
        <v>1614</v>
      </c>
      <c r="AM218" t="s">
        <v>1263</v>
      </c>
      <c r="AN218" t="s">
        <v>1706</v>
      </c>
      <c r="AO218" t="s">
        <v>1707</v>
      </c>
      <c r="AP218" s="5">
        <v>46267.684027777781</v>
      </c>
      <c r="AQ218" t="s">
        <v>1266</v>
      </c>
      <c r="AR218" t="s">
        <v>1267</v>
      </c>
      <c r="AS218" t="s">
        <v>1268</v>
      </c>
      <c r="AT218" t="s">
        <v>1269</v>
      </c>
      <c r="AU218" t="s">
        <v>1270</v>
      </c>
    </row>
    <row r="219" spans="1:47" x14ac:dyDescent="0.25">
      <c r="A219" s="1" t="s">
        <v>689</v>
      </c>
      <c r="B219" s="1" t="s">
        <v>690</v>
      </c>
      <c r="C219" s="1" t="s">
        <v>691</v>
      </c>
      <c r="D219" s="1" t="s">
        <v>692</v>
      </c>
      <c r="E219" s="1" t="s">
        <v>38</v>
      </c>
      <c r="F219" s="1" t="s">
        <v>39</v>
      </c>
      <c r="G219" s="2">
        <v>-9699</v>
      </c>
      <c r="H219" s="2">
        <v>5080846.6399999997</v>
      </c>
      <c r="I219" s="1" t="s">
        <v>40</v>
      </c>
      <c r="J219" s="1" t="s">
        <v>49</v>
      </c>
      <c r="K219" s="1" t="s">
        <v>279</v>
      </c>
      <c r="L219" s="1" t="s">
        <v>39</v>
      </c>
      <c r="M219" s="1" t="s">
        <v>693</v>
      </c>
      <c r="P219">
        <v>395390</v>
      </c>
      <c r="Q219" t="s">
        <v>1609</v>
      </c>
      <c r="R219" t="s">
        <v>1257</v>
      </c>
      <c r="S219" t="s">
        <v>1258</v>
      </c>
      <c r="T219" t="s">
        <v>1259</v>
      </c>
      <c r="U219">
        <v>9699</v>
      </c>
      <c r="V219" s="8">
        <f>G219+U219</f>
        <v>0</v>
      </c>
      <c r="W219">
        <v>0</v>
      </c>
      <c r="X219">
        <v>63</v>
      </c>
      <c r="Y219">
        <v>0</v>
      </c>
      <c r="Z219">
        <v>0</v>
      </c>
      <c r="AA219">
        <v>0</v>
      </c>
      <c r="AB219">
        <v>3447807.8</v>
      </c>
      <c r="AC219" s="4">
        <v>46267</v>
      </c>
      <c r="AD219" t="s">
        <v>1760</v>
      </c>
      <c r="AE219" t="s">
        <v>689</v>
      </c>
      <c r="AH219" t="s">
        <v>1564</v>
      </c>
      <c r="AI219" t="s">
        <v>1261</v>
      </c>
      <c r="AJ219" t="s">
        <v>1262</v>
      </c>
      <c r="AK219">
        <v>852648</v>
      </c>
      <c r="AL219" t="s">
        <v>1564</v>
      </c>
      <c r="AM219" t="s">
        <v>1263</v>
      </c>
      <c r="AN219" t="s">
        <v>1761</v>
      </c>
      <c r="AO219" t="s">
        <v>1762</v>
      </c>
      <c r="AP219" s="5">
        <v>46267.692361111112</v>
      </c>
      <c r="AQ219" t="s">
        <v>1266</v>
      </c>
      <c r="AR219" t="s">
        <v>1267</v>
      </c>
      <c r="AS219" t="s">
        <v>1268</v>
      </c>
      <c r="AT219" t="s">
        <v>1269</v>
      </c>
      <c r="AU219" t="s">
        <v>1270</v>
      </c>
    </row>
    <row r="220" spans="1:47" x14ac:dyDescent="0.25">
      <c r="A220" s="1" t="s">
        <v>657</v>
      </c>
      <c r="B220" s="1" t="s">
        <v>658</v>
      </c>
      <c r="C220" s="1" t="s">
        <v>658</v>
      </c>
      <c r="D220" s="1" t="s">
        <v>659</v>
      </c>
      <c r="E220" s="1" t="s">
        <v>38</v>
      </c>
      <c r="F220" s="1" t="s">
        <v>39</v>
      </c>
      <c r="G220" s="2">
        <v>-2787</v>
      </c>
      <c r="H220" s="2">
        <v>5006583.6399999997</v>
      </c>
      <c r="I220" s="1" t="s">
        <v>40</v>
      </c>
      <c r="J220" s="1" t="s">
        <v>49</v>
      </c>
      <c r="K220" s="1" t="s">
        <v>283</v>
      </c>
      <c r="L220" s="1" t="s">
        <v>39</v>
      </c>
      <c r="M220" s="1" t="s">
        <v>660</v>
      </c>
      <c r="P220">
        <v>395390</v>
      </c>
      <c r="Q220" t="s">
        <v>1609</v>
      </c>
      <c r="R220" t="s">
        <v>1257</v>
      </c>
      <c r="S220" t="s">
        <v>1258</v>
      </c>
      <c r="T220" t="s">
        <v>1259</v>
      </c>
      <c r="U220">
        <v>2787</v>
      </c>
      <c r="V220" s="8">
        <f>G220+U220</f>
        <v>0</v>
      </c>
      <c r="W220">
        <v>0</v>
      </c>
      <c r="X220">
        <v>40</v>
      </c>
      <c r="Y220">
        <v>0</v>
      </c>
      <c r="Z220">
        <v>0</v>
      </c>
      <c r="AA220">
        <v>0</v>
      </c>
      <c r="AB220">
        <v>3199410.8</v>
      </c>
      <c r="AC220" s="4">
        <v>46267</v>
      </c>
      <c r="AD220" t="s">
        <v>1784</v>
      </c>
      <c r="AE220" t="s">
        <v>657</v>
      </c>
      <c r="AH220" t="s">
        <v>1614</v>
      </c>
      <c r="AI220" t="s">
        <v>1261</v>
      </c>
      <c r="AJ220" t="s">
        <v>1262</v>
      </c>
      <c r="AK220">
        <v>765244</v>
      </c>
      <c r="AL220" t="s">
        <v>1614</v>
      </c>
      <c r="AM220" t="s">
        <v>1263</v>
      </c>
      <c r="AN220" t="s">
        <v>1785</v>
      </c>
      <c r="AO220" t="s">
        <v>1786</v>
      </c>
      <c r="AP220" s="5">
        <v>46267.692361111112</v>
      </c>
      <c r="AQ220" t="s">
        <v>1266</v>
      </c>
      <c r="AR220" t="s">
        <v>1267</v>
      </c>
      <c r="AS220" t="s">
        <v>1268</v>
      </c>
      <c r="AT220" t="s">
        <v>1269</v>
      </c>
      <c r="AU220" t="s">
        <v>1270</v>
      </c>
    </row>
    <row r="221" spans="1:47" x14ac:dyDescent="0.25">
      <c r="A221" s="1" t="s">
        <v>616</v>
      </c>
      <c r="B221" s="1" t="s">
        <v>617</v>
      </c>
      <c r="C221" s="1" t="s">
        <v>618</v>
      </c>
      <c r="D221" s="1" t="s">
        <v>619</v>
      </c>
      <c r="E221" s="1" t="s">
        <v>38</v>
      </c>
      <c r="F221" s="1" t="s">
        <v>39</v>
      </c>
      <c r="G221" s="2">
        <v>-9771</v>
      </c>
      <c r="H221" s="2">
        <v>4885831.6399999997</v>
      </c>
      <c r="I221" s="1" t="s">
        <v>40</v>
      </c>
      <c r="J221" s="1" t="s">
        <v>49</v>
      </c>
      <c r="K221" s="1" t="s">
        <v>279</v>
      </c>
      <c r="L221" s="1" t="s">
        <v>39</v>
      </c>
      <c r="M221" s="1" t="s">
        <v>620</v>
      </c>
      <c r="P221">
        <v>395390</v>
      </c>
      <c r="Q221" t="s">
        <v>1609</v>
      </c>
      <c r="R221" t="s">
        <v>1257</v>
      </c>
      <c r="S221" t="s">
        <v>1258</v>
      </c>
      <c r="T221" t="s">
        <v>1259</v>
      </c>
      <c r="U221">
        <v>9771</v>
      </c>
      <c r="V221" s="8">
        <f>G221+U221</f>
        <v>0</v>
      </c>
      <c r="W221">
        <v>0</v>
      </c>
      <c r="X221">
        <v>63</v>
      </c>
      <c r="Y221">
        <v>0</v>
      </c>
      <c r="Z221">
        <v>0</v>
      </c>
      <c r="AA221">
        <v>0</v>
      </c>
      <c r="AB221">
        <v>2952482.8</v>
      </c>
      <c r="AC221" s="4">
        <v>46267</v>
      </c>
      <c r="AD221" t="s">
        <v>1820</v>
      </c>
      <c r="AE221" t="s">
        <v>616</v>
      </c>
      <c r="AH221" t="s">
        <v>1564</v>
      </c>
      <c r="AI221" t="s">
        <v>1261</v>
      </c>
      <c r="AJ221" t="s">
        <v>1262</v>
      </c>
      <c r="AK221">
        <v>852648</v>
      </c>
      <c r="AL221" t="s">
        <v>1564</v>
      </c>
      <c r="AM221" t="s">
        <v>1263</v>
      </c>
      <c r="AN221" t="s">
        <v>1821</v>
      </c>
      <c r="AO221" t="s">
        <v>1822</v>
      </c>
      <c r="AP221" s="5">
        <v>46267.692361111112</v>
      </c>
      <c r="AQ221" t="s">
        <v>1266</v>
      </c>
      <c r="AR221" t="s">
        <v>1267</v>
      </c>
      <c r="AS221" t="s">
        <v>1268</v>
      </c>
      <c r="AT221" t="s">
        <v>1269</v>
      </c>
      <c r="AU221" t="s">
        <v>1270</v>
      </c>
    </row>
    <row r="222" spans="1:47" x14ac:dyDescent="0.25">
      <c r="A222" s="1" t="s">
        <v>609</v>
      </c>
      <c r="B222" s="1" t="s">
        <v>600</v>
      </c>
      <c r="C222" s="1" t="s">
        <v>610</v>
      </c>
      <c r="D222" s="1" t="s">
        <v>611</v>
      </c>
      <c r="E222" s="1" t="s">
        <v>38</v>
      </c>
      <c r="F222" s="1" t="s">
        <v>39</v>
      </c>
      <c r="G222" s="2">
        <v>-5758</v>
      </c>
      <c r="H222" s="2">
        <v>4864863.6399999997</v>
      </c>
      <c r="I222" s="1" t="s">
        <v>40</v>
      </c>
      <c r="J222" s="1" t="s">
        <v>49</v>
      </c>
      <c r="K222" s="1" t="s">
        <v>289</v>
      </c>
      <c r="L222" s="1" t="s">
        <v>39</v>
      </c>
      <c r="M222" s="1" t="s">
        <v>612</v>
      </c>
      <c r="P222">
        <v>395390</v>
      </c>
      <c r="Q222" t="s">
        <v>1609</v>
      </c>
      <c r="R222" t="s">
        <v>1257</v>
      </c>
      <c r="S222" t="s">
        <v>1258</v>
      </c>
      <c r="T222" t="s">
        <v>1259</v>
      </c>
      <c r="U222">
        <v>5758</v>
      </c>
      <c r="V222" s="8">
        <f>G222+U222</f>
        <v>0</v>
      </c>
      <c r="W222">
        <v>0</v>
      </c>
      <c r="X222">
        <v>57</v>
      </c>
      <c r="Y222">
        <v>0</v>
      </c>
      <c r="Z222">
        <v>0</v>
      </c>
      <c r="AA222">
        <v>0</v>
      </c>
      <c r="AB222">
        <v>2732615.8</v>
      </c>
      <c r="AC222" s="4">
        <v>46267</v>
      </c>
      <c r="AD222" t="s">
        <v>1859</v>
      </c>
      <c r="AE222" t="s">
        <v>609</v>
      </c>
      <c r="AH222" t="s">
        <v>1627</v>
      </c>
      <c r="AI222" t="s">
        <v>1261</v>
      </c>
      <c r="AJ222" t="s">
        <v>1262</v>
      </c>
      <c r="AK222">
        <v>350050</v>
      </c>
      <c r="AL222" t="s">
        <v>1627</v>
      </c>
      <c r="AM222" t="s">
        <v>1263</v>
      </c>
      <c r="AN222" t="s">
        <v>1860</v>
      </c>
      <c r="AO222" t="s">
        <v>1861</v>
      </c>
      <c r="AP222" s="5">
        <v>46267.692361111112</v>
      </c>
      <c r="AQ222" t="s">
        <v>1266</v>
      </c>
      <c r="AR222" t="s">
        <v>1267</v>
      </c>
      <c r="AS222" t="s">
        <v>1268</v>
      </c>
      <c r="AT222" t="s">
        <v>1269</v>
      </c>
      <c r="AU222" t="s">
        <v>1270</v>
      </c>
    </row>
    <row r="223" spans="1:47" x14ac:dyDescent="0.25">
      <c r="A223" s="1" t="s">
        <v>587</v>
      </c>
      <c r="B223" s="1" t="s">
        <v>530</v>
      </c>
      <c r="C223" s="1" t="s">
        <v>530</v>
      </c>
      <c r="D223" s="1" t="s">
        <v>588</v>
      </c>
      <c r="E223" s="1" t="s">
        <v>38</v>
      </c>
      <c r="F223" s="1" t="s">
        <v>39</v>
      </c>
      <c r="G223" s="2">
        <v>-11539</v>
      </c>
      <c r="H223" s="2">
        <v>4779633.6399999997</v>
      </c>
      <c r="I223" s="1" t="s">
        <v>40</v>
      </c>
      <c r="J223" s="1" t="s">
        <v>49</v>
      </c>
      <c r="K223" s="1" t="s">
        <v>283</v>
      </c>
      <c r="L223" s="1" t="s">
        <v>39</v>
      </c>
      <c r="M223" s="1" t="s">
        <v>589</v>
      </c>
      <c r="P223">
        <v>395390</v>
      </c>
      <c r="Q223" t="s">
        <v>1609</v>
      </c>
      <c r="R223" t="s">
        <v>1257</v>
      </c>
      <c r="S223" t="s">
        <v>1258</v>
      </c>
      <c r="T223" t="s">
        <v>1259</v>
      </c>
      <c r="U223">
        <v>11539</v>
      </c>
      <c r="V223" s="8">
        <f>G223+U223</f>
        <v>0</v>
      </c>
      <c r="W223">
        <v>0</v>
      </c>
      <c r="X223">
        <v>72</v>
      </c>
      <c r="Y223">
        <v>0</v>
      </c>
      <c r="Z223">
        <v>0</v>
      </c>
      <c r="AA223">
        <v>0</v>
      </c>
      <c r="AB223">
        <v>2349927.7999999998</v>
      </c>
      <c r="AC223" s="4">
        <v>46267</v>
      </c>
      <c r="AD223" t="s">
        <v>1920</v>
      </c>
      <c r="AE223" t="s">
        <v>587</v>
      </c>
      <c r="AH223" t="s">
        <v>1614</v>
      </c>
      <c r="AI223" t="s">
        <v>1261</v>
      </c>
      <c r="AJ223" t="s">
        <v>1262</v>
      </c>
      <c r="AK223">
        <v>765244</v>
      </c>
      <c r="AL223" t="s">
        <v>1614</v>
      </c>
      <c r="AM223" t="s">
        <v>1263</v>
      </c>
      <c r="AN223" t="s">
        <v>1921</v>
      </c>
      <c r="AO223" t="s">
        <v>1922</v>
      </c>
      <c r="AP223" s="5">
        <v>46267.692361111112</v>
      </c>
      <c r="AQ223" t="s">
        <v>1266</v>
      </c>
      <c r="AR223" t="s">
        <v>1267</v>
      </c>
      <c r="AS223" t="s">
        <v>1268</v>
      </c>
      <c r="AT223" t="s">
        <v>1269</v>
      </c>
      <c r="AU223" t="s">
        <v>1270</v>
      </c>
    </row>
    <row r="224" spans="1:47" x14ac:dyDescent="0.25">
      <c r="A224" s="1" t="s">
        <v>514</v>
      </c>
      <c r="B224" s="1" t="s">
        <v>491</v>
      </c>
      <c r="C224" s="1" t="s">
        <v>515</v>
      </c>
      <c r="D224" s="1" t="s">
        <v>378</v>
      </c>
      <c r="E224" s="1" t="s">
        <v>38</v>
      </c>
      <c r="F224" s="1" t="s">
        <v>39</v>
      </c>
      <c r="G224" s="2">
        <v>-11749</v>
      </c>
      <c r="H224" s="2">
        <v>4527901.6399999997</v>
      </c>
      <c r="I224" s="1" t="s">
        <v>40</v>
      </c>
      <c r="J224" s="1" t="s">
        <v>49</v>
      </c>
      <c r="K224" s="1" t="s">
        <v>279</v>
      </c>
      <c r="L224" s="1" t="s">
        <v>39</v>
      </c>
      <c r="M224" s="1" t="s">
        <v>379</v>
      </c>
      <c r="P224">
        <v>395390</v>
      </c>
      <c r="Q224" t="s">
        <v>1609</v>
      </c>
      <c r="R224" t="s">
        <v>1257</v>
      </c>
      <c r="S224" t="s">
        <v>1258</v>
      </c>
      <c r="T224" t="s">
        <v>1259</v>
      </c>
      <c r="U224">
        <v>11749</v>
      </c>
      <c r="V224" s="8">
        <f>G224+U224</f>
        <v>0</v>
      </c>
      <c r="W224">
        <v>0</v>
      </c>
      <c r="X224">
        <v>72</v>
      </c>
      <c r="Y224">
        <v>0</v>
      </c>
      <c r="Z224">
        <v>0</v>
      </c>
      <c r="AA224">
        <v>0</v>
      </c>
      <c r="AB224">
        <v>2764983.8</v>
      </c>
      <c r="AC224" s="4">
        <v>46267</v>
      </c>
      <c r="AD224" t="s">
        <v>1850</v>
      </c>
      <c r="AE224" t="s">
        <v>514</v>
      </c>
      <c r="AH224" t="s">
        <v>1564</v>
      </c>
      <c r="AI224" t="s">
        <v>1261</v>
      </c>
      <c r="AJ224" t="s">
        <v>1262</v>
      </c>
      <c r="AK224">
        <v>852648</v>
      </c>
      <c r="AL224" t="s">
        <v>1564</v>
      </c>
      <c r="AM224" t="s">
        <v>1263</v>
      </c>
      <c r="AN224" t="s">
        <v>1851</v>
      </c>
      <c r="AO224" t="s">
        <v>1852</v>
      </c>
      <c r="AP224" s="5">
        <v>46267.692361111112</v>
      </c>
      <c r="AQ224" t="s">
        <v>1266</v>
      </c>
      <c r="AR224" t="s">
        <v>1267</v>
      </c>
      <c r="AS224" t="s">
        <v>1268</v>
      </c>
      <c r="AT224" t="s">
        <v>1269</v>
      </c>
      <c r="AU224" t="s">
        <v>1270</v>
      </c>
    </row>
    <row r="225" spans="1:47" x14ac:dyDescent="0.25">
      <c r="A225" s="1" t="s">
        <v>543</v>
      </c>
      <c r="B225" s="1" t="s">
        <v>511</v>
      </c>
      <c r="C225" s="1" t="s">
        <v>515</v>
      </c>
      <c r="D225" s="1" t="s">
        <v>544</v>
      </c>
      <c r="E225" s="1" t="s">
        <v>38</v>
      </c>
      <c r="F225" s="1" t="s">
        <v>39</v>
      </c>
      <c r="G225" s="2">
        <v>-2620</v>
      </c>
      <c r="H225" s="2">
        <v>4672988.6399999997</v>
      </c>
      <c r="I225" s="1" t="s">
        <v>40</v>
      </c>
      <c r="J225" s="1" t="s">
        <v>49</v>
      </c>
      <c r="K225" s="1" t="s">
        <v>283</v>
      </c>
      <c r="L225" s="1" t="s">
        <v>39</v>
      </c>
      <c r="M225" s="1" t="s">
        <v>545</v>
      </c>
      <c r="P225">
        <v>395390</v>
      </c>
      <c r="Q225" t="s">
        <v>1609</v>
      </c>
      <c r="R225" t="s">
        <v>1257</v>
      </c>
      <c r="S225" t="s">
        <v>1258</v>
      </c>
      <c r="T225" t="s">
        <v>1259</v>
      </c>
      <c r="U225">
        <v>2620</v>
      </c>
      <c r="V225" s="8">
        <f>G225+U225</f>
        <v>0</v>
      </c>
      <c r="W225">
        <v>0</v>
      </c>
      <c r="X225">
        <v>40</v>
      </c>
      <c r="Y225">
        <v>0</v>
      </c>
      <c r="Z225">
        <v>0</v>
      </c>
      <c r="AA225">
        <v>0</v>
      </c>
      <c r="AB225">
        <v>2490104.7999999998</v>
      </c>
      <c r="AC225" s="4">
        <v>46267</v>
      </c>
      <c r="AD225" t="s">
        <v>1914</v>
      </c>
      <c r="AE225" t="s">
        <v>543</v>
      </c>
      <c r="AH225" t="s">
        <v>1614</v>
      </c>
      <c r="AI225" t="s">
        <v>1261</v>
      </c>
      <c r="AJ225" t="s">
        <v>1262</v>
      </c>
      <c r="AK225">
        <v>765244</v>
      </c>
      <c r="AL225" t="s">
        <v>1614</v>
      </c>
      <c r="AM225" t="s">
        <v>1263</v>
      </c>
      <c r="AN225" t="s">
        <v>1915</v>
      </c>
      <c r="AO225" t="s">
        <v>1916</v>
      </c>
      <c r="AP225" s="5">
        <v>46267.692361111112</v>
      </c>
      <c r="AQ225" t="s">
        <v>1266</v>
      </c>
      <c r="AR225" t="s">
        <v>1267</v>
      </c>
      <c r="AS225" t="s">
        <v>1268</v>
      </c>
      <c r="AT225" t="s">
        <v>1269</v>
      </c>
      <c r="AU225" t="s">
        <v>1270</v>
      </c>
    </row>
    <row r="226" spans="1:47" x14ac:dyDescent="0.25">
      <c r="A226" s="1" t="s">
        <v>507</v>
      </c>
      <c r="B226" s="1" t="s">
        <v>498</v>
      </c>
      <c r="C226" s="1" t="s">
        <v>491</v>
      </c>
      <c r="D226" s="1" t="s">
        <v>508</v>
      </c>
      <c r="E226" s="1" t="s">
        <v>38</v>
      </c>
      <c r="F226" s="1" t="s">
        <v>39</v>
      </c>
      <c r="G226" s="2">
        <v>-7286</v>
      </c>
      <c r="H226" s="2">
        <v>4513586.6399999997</v>
      </c>
      <c r="I226" s="1" t="s">
        <v>40</v>
      </c>
      <c r="J226" s="1" t="s">
        <v>49</v>
      </c>
      <c r="K226" s="1" t="s">
        <v>283</v>
      </c>
      <c r="L226" s="1" t="s">
        <v>39</v>
      </c>
      <c r="M226" s="1" t="s">
        <v>509</v>
      </c>
      <c r="P226">
        <v>395390</v>
      </c>
      <c r="Q226" t="s">
        <v>1609</v>
      </c>
      <c r="R226" t="s">
        <v>1257</v>
      </c>
      <c r="S226" t="s">
        <v>1258</v>
      </c>
      <c r="T226" t="s">
        <v>1259</v>
      </c>
      <c r="U226">
        <v>7286</v>
      </c>
      <c r="V226" s="8">
        <f>G226+U226</f>
        <v>0</v>
      </c>
      <c r="W226">
        <v>0</v>
      </c>
      <c r="X226">
        <v>57</v>
      </c>
      <c r="Y226">
        <v>0</v>
      </c>
      <c r="Z226">
        <v>0</v>
      </c>
      <c r="AA226">
        <v>0</v>
      </c>
      <c r="AB226">
        <v>2219336.7999999998</v>
      </c>
      <c r="AC226" s="4">
        <v>46267</v>
      </c>
      <c r="AD226" t="s">
        <v>1947</v>
      </c>
      <c r="AE226" t="s">
        <v>507</v>
      </c>
      <c r="AH226" t="s">
        <v>1614</v>
      </c>
      <c r="AI226" t="s">
        <v>1261</v>
      </c>
      <c r="AJ226" t="s">
        <v>1262</v>
      </c>
      <c r="AK226">
        <v>765244</v>
      </c>
      <c r="AL226" t="s">
        <v>1614</v>
      </c>
      <c r="AM226" t="s">
        <v>1263</v>
      </c>
      <c r="AN226" t="s">
        <v>1948</v>
      </c>
      <c r="AO226" t="s">
        <v>1949</v>
      </c>
      <c r="AP226" s="5">
        <v>46267.692361111112</v>
      </c>
      <c r="AQ226" t="s">
        <v>1266</v>
      </c>
      <c r="AR226" t="s">
        <v>1267</v>
      </c>
      <c r="AS226" t="s">
        <v>1268</v>
      </c>
      <c r="AT226" t="s">
        <v>1269</v>
      </c>
      <c r="AU226" t="s">
        <v>1270</v>
      </c>
    </row>
    <row r="227" spans="1:47" x14ac:dyDescent="0.25">
      <c r="A227" s="1" t="s">
        <v>469</v>
      </c>
      <c r="B227" s="1" t="s">
        <v>470</v>
      </c>
      <c r="C227" s="1" t="s">
        <v>470</v>
      </c>
      <c r="D227" s="1" t="s">
        <v>471</v>
      </c>
      <c r="E227" s="1" t="s">
        <v>38</v>
      </c>
      <c r="F227" s="1" t="s">
        <v>39</v>
      </c>
      <c r="G227" s="2">
        <v>-11859</v>
      </c>
      <c r="H227" s="2">
        <v>4346771.6399999997</v>
      </c>
      <c r="I227" s="1" t="s">
        <v>40</v>
      </c>
      <c r="J227" s="1" t="s">
        <v>41</v>
      </c>
      <c r="K227" s="1" t="s">
        <v>472</v>
      </c>
      <c r="L227" s="1" t="s">
        <v>39</v>
      </c>
      <c r="M227" s="1" t="s">
        <v>39</v>
      </c>
      <c r="P227">
        <v>520420</v>
      </c>
      <c r="Q227" t="s">
        <v>1392</v>
      </c>
      <c r="R227" t="s">
        <v>1286</v>
      </c>
      <c r="T227" t="s">
        <v>1259</v>
      </c>
      <c r="U227">
        <v>11859</v>
      </c>
      <c r="V227" s="8">
        <f>G227+U227</f>
        <v>0</v>
      </c>
      <c r="W227">
        <v>0</v>
      </c>
      <c r="X227">
        <v>15</v>
      </c>
      <c r="Y227">
        <v>23</v>
      </c>
      <c r="Z227">
        <v>0</v>
      </c>
      <c r="AA227">
        <v>0</v>
      </c>
      <c r="AB227">
        <v>39447.224000000002</v>
      </c>
      <c r="AC227" s="4">
        <v>46267</v>
      </c>
      <c r="AD227" t="s">
        <v>1974</v>
      </c>
      <c r="AE227" t="s">
        <v>469</v>
      </c>
      <c r="AI227" t="s">
        <v>1261</v>
      </c>
      <c r="AJ227" t="s">
        <v>1262</v>
      </c>
      <c r="AK227">
        <v>520420</v>
      </c>
      <c r="AM227" t="s">
        <v>1263</v>
      </c>
      <c r="AN227" t="s">
        <v>1975</v>
      </c>
      <c r="AO227" t="s">
        <v>1976</v>
      </c>
      <c r="AP227" s="5">
        <v>46267.693055555559</v>
      </c>
      <c r="AQ227" t="s">
        <v>1266</v>
      </c>
      <c r="AS227" t="s">
        <v>1268</v>
      </c>
      <c r="AT227" t="s">
        <v>1269</v>
      </c>
      <c r="AU227" t="s">
        <v>1270</v>
      </c>
    </row>
    <row r="228" spans="1:47" x14ac:dyDescent="0.25">
      <c r="A228" s="1" t="s">
        <v>436</v>
      </c>
      <c r="B228" s="1" t="s">
        <v>433</v>
      </c>
      <c r="C228" s="1" t="s">
        <v>433</v>
      </c>
      <c r="D228" s="1" t="s">
        <v>437</v>
      </c>
      <c r="E228" s="1" t="s">
        <v>38</v>
      </c>
      <c r="F228" s="1" t="s">
        <v>39</v>
      </c>
      <c r="G228" s="2">
        <v>-10749</v>
      </c>
      <c r="H228" s="2">
        <v>4131251.64</v>
      </c>
      <c r="I228" s="1" t="s">
        <v>40</v>
      </c>
      <c r="J228" s="1" t="s">
        <v>49</v>
      </c>
      <c r="K228" s="1" t="s">
        <v>283</v>
      </c>
      <c r="L228" s="1" t="s">
        <v>39</v>
      </c>
      <c r="M228" s="1" t="s">
        <v>438</v>
      </c>
      <c r="P228">
        <v>395390</v>
      </c>
      <c r="Q228" t="s">
        <v>1609</v>
      </c>
      <c r="R228" t="s">
        <v>1257</v>
      </c>
      <c r="S228" t="s">
        <v>1258</v>
      </c>
      <c r="T228" t="s">
        <v>1259</v>
      </c>
      <c r="U228">
        <v>10749</v>
      </c>
      <c r="V228" s="8">
        <f>G228+U228</f>
        <v>0</v>
      </c>
      <c r="W228">
        <v>0</v>
      </c>
      <c r="X228">
        <v>72</v>
      </c>
      <c r="Y228">
        <v>0</v>
      </c>
      <c r="Z228">
        <v>0</v>
      </c>
      <c r="AA228">
        <v>0</v>
      </c>
      <c r="AB228">
        <v>1979297</v>
      </c>
      <c r="AC228" s="4">
        <v>46267</v>
      </c>
      <c r="AD228" t="s">
        <v>2007</v>
      </c>
      <c r="AE228" t="s">
        <v>436</v>
      </c>
      <c r="AH228" t="s">
        <v>1614</v>
      </c>
      <c r="AI228" t="s">
        <v>1261</v>
      </c>
      <c r="AJ228" t="s">
        <v>1262</v>
      </c>
      <c r="AK228">
        <v>765244</v>
      </c>
      <c r="AL228" t="s">
        <v>1614</v>
      </c>
      <c r="AM228" t="s">
        <v>1263</v>
      </c>
      <c r="AN228" t="s">
        <v>2008</v>
      </c>
      <c r="AO228" t="s">
        <v>2009</v>
      </c>
      <c r="AP228" s="5">
        <v>46267.705555555556</v>
      </c>
      <c r="AQ228" t="s">
        <v>1266</v>
      </c>
      <c r="AR228" t="s">
        <v>1267</v>
      </c>
      <c r="AS228" t="s">
        <v>1268</v>
      </c>
      <c r="AT228" t="s">
        <v>1269</v>
      </c>
      <c r="AU228" t="s">
        <v>1270</v>
      </c>
    </row>
    <row r="229" spans="1:47" x14ac:dyDescent="0.25">
      <c r="A229" s="1" t="s">
        <v>432</v>
      </c>
      <c r="B229" s="1" t="s">
        <v>433</v>
      </c>
      <c r="C229" s="1" t="s">
        <v>433</v>
      </c>
      <c r="D229" s="1" t="s">
        <v>434</v>
      </c>
      <c r="E229" s="1" t="s">
        <v>38</v>
      </c>
      <c r="F229" s="1" t="s">
        <v>39</v>
      </c>
      <c r="G229" s="2">
        <v>-6203</v>
      </c>
      <c r="H229" s="2">
        <v>4124985.64</v>
      </c>
      <c r="I229" s="1" t="s">
        <v>40</v>
      </c>
      <c r="J229" s="1" t="s">
        <v>49</v>
      </c>
      <c r="K229" s="1" t="s">
        <v>283</v>
      </c>
      <c r="L229" s="1" t="s">
        <v>39</v>
      </c>
      <c r="M229" s="1" t="s">
        <v>435</v>
      </c>
      <c r="P229">
        <v>395390</v>
      </c>
      <c r="Q229" t="s">
        <v>1609</v>
      </c>
      <c r="R229" t="s">
        <v>1257</v>
      </c>
      <c r="S229" t="s">
        <v>1258</v>
      </c>
      <c r="T229" t="s">
        <v>1259</v>
      </c>
      <c r="U229">
        <v>6203</v>
      </c>
      <c r="V229" s="8">
        <f>G229+U229</f>
        <v>0</v>
      </c>
      <c r="W229">
        <v>0</v>
      </c>
      <c r="X229">
        <v>57</v>
      </c>
      <c r="Y229">
        <v>0</v>
      </c>
      <c r="Z229">
        <v>0</v>
      </c>
      <c r="AA229">
        <v>0</v>
      </c>
      <c r="AB229">
        <v>1973037</v>
      </c>
      <c r="AC229" s="4">
        <v>46267</v>
      </c>
      <c r="AD229" t="s">
        <v>2010</v>
      </c>
      <c r="AE229" t="s">
        <v>432</v>
      </c>
      <c r="AH229" t="s">
        <v>1614</v>
      </c>
      <c r="AI229" t="s">
        <v>1261</v>
      </c>
      <c r="AJ229" t="s">
        <v>1262</v>
      </c>
      <c r="AK229">
        <v>765244</v>
      </c>
      <c r="AL229" t="s">
        <v>1614</v>
      </c>
      <c r="AM229" t="s">
        <v>1263</v>
      </c>
      <c r="AN229" t="s">
        <v>2011</v>
      </c>
      <c r="AO229" t="s">
        <v>2012</v>
      </c>
      <c r="AP229" s="5">
        <v>46267.705555555556</v>
      </c>
      <c r="AQ229" t="s">
        <v>1266</v>
      </c>
      <c r="AR229" t="s">
        <v>1267</v>
      </c>
      <c r="AS229" t="s">
        <v>1268</v>
      </c>
      <c r="AT229" t="s">
        <v>1269</v>
      </c>
      <c r="AU229" t="s">
        <v>1270</v>
      </c>
    </row>
    <row r="230" spans="1:47" x14ac:dyDescent="0.25">
      <c r="A230" s="1" t="s">
        <v>421</v>
      </c>
      <c r="B230" s="1" t="s">
        <v>422</v>
      </c>
      <c r="C230" s="1" t="s">
        <v>422</v>
      </c>
      <c r="D230" s="1" t="s">
        <v>423</v>
      </c>
      <c r="E230" s="1" t="s">
        <v>38</v>
      </c>
      <c r="F230" s="1" t="s">
        <v>39</v>
      </c>
      <c r="G230" s="2">
        <v>-16671</v>
      </c>
      <c r="H230" s="2">
        <v>4066048.64</v>
      </c>
      <c r="I230" s="1" t="s">
        <v>40</v>
      </c>
      <c r="J230" s="1" t="s">
        <v>49</v>
      </c>
      <c r="K230" s="1" t="s">
        <v>283</v>
      </c>
      <c r="L230" s="1" t="s">
        <v>39</v>
      </c>
      <c r="M230" s="1" t="s">
        <v>424</v>
      </c>
      <c r="P230">
        <v>395390</v>
      </c>
      <c r="Q230" t="s">
        <v>1609</v>
      </c>
      <c r="R230" t="s">
        <v>1257</v>
      </c>
      <c r="S230" t="s">
        <v>1258</v>
      </c>
      <c r="T230" t="s">
        <v>1259</v>
      </c>
      <c r="U230">
        <v>16671</v>
      </c>
      <c r="V230" s="8">
        <f>G230+U230</f>
        <v>0</v>
      </c>
      <c r="W230">
        <v>0</v>
      </c>
      <c r="X230">
        <v>82</v>
      </c>
      <c r="Y230">
        <v>0</v>
      </c>
      <c r="Z230">
        <v>0</v>
      </c>
      <c r="AA230">
        <v>0</v>
      </c>
      <c r="AB230">
        <v>1872696</v>
      </c>
      <c r="AC230" s="4">
        <v>46267</v>
      </c>
      <c r="AD230" t="s">
        <v>2019</v>
      </c>
      <c r="AE230" t="s">
        <v>421</v>
      </c>
      <c r="AH230" t="s">
        <v>1614</v>
      </c>
      <c r="AI230" t="s">
        <v>1261</v>
      </c>
      <c r="AJ230" t="s">
        <v>1262</v>
      </c>
      <c r="AK230">
        <v>765244</v>
      </c>
      <c r="AL230" t="s">
        <v>1614</v>
      </c>
      <c r="AM230" t="s">
        <v>1263</v>
      </c>
      <c r="AN230" t="s">
        <v>2020</v>
      </c>
      <c r="AO230" t="s">
        <v>2021</v>
      </c>
      <c r="AP230" s="5">
        <v>46267.705555555556</v>
      </c>
      <c r="AQ230" t="s">
        <v>1266</v>
      </c>
      <c r="AR230" t="s">
        <v>1267</v>
      </c>
      <c r="AS230" t="s">
        <v>1268</v>
      </c>
      <c r="AT230" t="s">
        <v>1269</v>
      </c>
      <c r="AU230" t="s">
        <v>1270</v>
      </c>
    </row>
    <row r="231" spans="1:47" x14ac:dyDescent="0.25">
      <c r="A231" s="1" t="s">
        <v>405</v>
      </c>
      <c r="B231" s="1" t="s">
        <v>406</v>
      </c>
      <c r="C231" s="1" t="s">
        <v>406</v>
      </c>
      <c r="D231" s="1" t="s">
        <v>407</v>
      </c>
      <c r="E231" s="1" t="s">
        <v>38</v>
      </c>
      <c r="F231" s="1" t="s">
        <v>39</v>
      </c>
      <c r="G231" s="2">
        <v>-27669</v>
      </c>
      <c r="H231" s="2">
        <v>4024308.64</v>
      </c>
      <c r="I231" s="1" t="s">
        <v>40</v>
      </c>
      <c r="J231" s="1" t="s">
        <v>49</v>
      </c>
      <c r="K231" s="1" t="s">
        <v>283</v>
      </c>
      <c r="L231" s="1" t="s">
        <v>39</v>
      </c>
      <c r="M231" s="1" t="s">
        <v>408</v>
      </c>
      <c r="P231">
        <v>395390</v>
      </c>
      <c r="Q231" t="s">
        <v>1609</v>
      </c>
      <c r="R231" t="s">
        <v>1257</v>
      </c>
      <c r="S231" t="s">
        <v>1258</v>
      </c>
      <c r="T231" t="s">
        <v>1259</v>
      </c>
      <c r="U231">
        <v>27669</v>
      </c>
      <c r="V231" s="8">
        <f>G231+U231</f>
        <v>0</v>
      </c>
      <c r="W231">
        <v>0</v>
      </c>
      <c r="X231">
        <v>92</v>
      </c>
      <c r="Y231">
        <v>0</v>
      </c>
      <c r="Z231">
        <v>0</v>
      </c>
      <c r="AA231">
        <v>0</v>
      </c>
      <c r="AB231">
        <v>1119273.8</v>
      </c>
      <c r="AC231" s="4">
        <v>46267</v>
      </c>
      <c r="AD231" t="s">
        <v>2034</v>
      </c>
      <c r="AE231" t="s">
        <v>405</v>
      </c>
      <c r="AH231" t="s">
        <v>1614</v>
      </c>
      <c r="AI231" t="s">
        <v>1261</v>
      </c>
      <c r="AJ231" t="s">
        <v>1262</v>
      </c>
      <c r="AK231">
        <v>765244</v>
      </c>
      <c r="AL231" t="s">
        <v>1614</v>
      </c>
      <c r="AM231" t="s">
        <v>1263</v>
      </c>
      <c r="AN231" t="s">
        <v>2035</v>
      </c>
      <c r="AO231" t="s">
        <v>2036</v>
      </c>
      <c r="AP231" s="5">
        <v>46267.705555555556</v>
      </c>
      <c r="AQ231" t="s">
        <v>1266</v>
      </c>
      <c r="AR231" t="s">
        <v>1267</v>
      </c>
      <c r="AS231" t="s">
        <v>1268</v>
      </c>
      <c r="AT231" t="s">
        <v>1269</v>
      </c>
      <c r="AU231" t="s">
        <v>1270</v>
      </c>
    </row>
    <row r="232" spans="1:47" x14ac:dyDescent="0.25">
      <c r="A232" s="1" t="s">
        <v>345</v>
      </c>
      <c r="B232" s="1" t="s">
        <v>346</v>
      </c>
      <c r="C232" s="1" t="s">
        <v>346</v>
      </c>
      <c r="D232" s="1" t="s">
        <v>347</v>
      </c>
      <c r="E232" s="1" t="s">
        <v>38</v>
      </c>
      <c r="F232" s="1" t="s">
        <v>39</v>
      </c>
      <c r="G232" s="2">
        <v>-8641</v>
      </c>
      <c r="H232" s="2">
        <v>3915397.64</v>
      </c>
      <c r="I232" s="1" t="s">
        <v>40</v>
      </c>
      <c r="J232" s="1" t="s">
        <v>49</v>
      </c>
      <c r="K232" s="1" t="s">
        <v>283</v>
      </c>
      <c r="L232" s="1" t="s">
        <v>39</v>
      </c>
      <c r="M232" s="1" t="s">
        <v>348</v>
      </c>
      <c r="P232">
        <v>395390</v>
      </c>
      <c r="Q232" t="s">
        <v>1609</v>
      </c>
      <c r="R232" t="s">
        <v>1257</v>
      </c>
      <c r="S232" t="s">
        <v>1258</v>
      </c>
      <c r="T232" t="s">
        <v>1259</v>
      </c>
      <c r="U232">
        <v>8641</v>
      </c>
      <c r="V232" s="8">
        <f>G232+U232</f>
        <v>0</v>
      </c>
      <c r="W232">
        <v>0</v>
      </c>
      <c r="X232">
        <v>63</v>
      </c>
      <c r="Y232">
        <v>0</v>
      </c>
      <c r="Z232">
        <v>0</v>
      </c>
      <c r="AA232">
        <v>0</v>
      </c>
      <c r="AB232">
        <v>618397.80000000005</v>
      </c>
      <c r="AC232" s="4">
        <v>46267</v>
      </c>
      <c r="AD232" t="s">
        <v>2083</v>
      </c>
      <c r="AE232" t="s">
        <v>345</v>
      </c>
      <c r="AH232" t="s">
        <v>1614</v>
      </c>
      <c r="AI232" t="s">
        <v>1261</v>
      </c>
      <c r="AJ232" t="s">
        <v>1262</v>
      </c>
      <c r="AK232">
        <v>765244</v>
      </c>
      <c r="AL232" t="s">
        <v>1614</v>
      </c>
      <c r="AM232" t="s">
        <v>1263</v>
      </c>
      <c r="AN232" t="s">
        <v>2084</v>
      </c>
      <c r="AO232" t="s">
        <v>2085</v>
      </c>
      <c r="AP232" s="5">
        <v>46267.715277777781</v>
      </c>
      <c r="AQ232" t="s">
        <v>1266</v>
      </c>
      <c r="AR232" t="s">
        <v>1267</v>
      </c>
      <c r="AS232" t="s">
        <v>1268</v>
      </c>
      <c r="AT232" t="s">
        <v>1269</v>
      </c>
      <c r="AU232" t="s">
        <v>1270</v>
      </c>
    </row>
    <row r="233" spans="1:47" x14ac:dyDescent="0.25">
      <c r="A233" s="1" t="s">
        <v>317</v>
      </c>
      <c r="B233" s="1" t="s">
        <v>314</v>
      </c>
      <c r="C233" s="1" t="s">
        <v>318</v>
      </c>
      <c r="D233" s="1" t="s">
        <v>319</v>
      </c>
      <c r="E233" s="1" t="s">
        <v>38</v>
      </c>
      <c r="F233" s="1" t="s">
        <v>39</v>
      </c>
      <c r="G233" s="2">
        <v>-19454</v>
      </c>
      <c r="H233" s="2">
        <v>3845572.64</v>
      </c>
      <c r="I233" s="1" t="s">
        <v>40</v>
      </c>
      <c r="J233" s="1" t="s">
        <v>49</v>
      </c>
      <c r="K233" s="1" t="s">
        <v>279</v>
      </c>
      <c r="L233" s="1" t="s">
        <v>39</v>
      </c>
      <c r="M233" s="1" t="s">
        <v>320</v>
      </c>
      <c r="P233">
        <v>395390</v>
      </c>
      <c r="Q233" t="s">
        <v>1609</v>
      </c>
      <c r="R233" t="s">
        <v>1257</v>
      </c>
      <c r="S233" t="s">
        <v>1258</v>
      </c>
      <c r="T233" t="s">
        <v>1259</v>
      </c>
      <c r="U233">
        <v>19454</v>
      </c>
      <c r="V233" s="8">
        <f>G233+U233</f>
        <v>0</v>
      </c>
      <c r="W233">
        <v>0</v>
      </c>
      <c r="X233">
        <v>82</v>
      </c>
      <c r="Y233">
        <v>0</v>
      </c>
      <c r="Z233">
        <v>0</v>
      </c>
      <c r="AA233">
        <v>0</v>
      </c>
      <c r="AB233">
        <v>263841.8</v>
      </c>
      <c r="AC233" s="4">
        <v>46267</v>
      </c>
      <c r="AD233" t="s">
        <v>2105</v>
      </c>
      <c r="AE233" t="s">
        <v>317</v>
      </c>
      <c r="AH233" t="s">
        <v>1564</v>
      </c>
      <c r="AI233" t="s">
        <v>1261</v>
      </c>
      <c r="AJ233" t="s">
        <v>1262</v>
      </c>
      <c r="AK233">
        <v>852648</v>
      </c>
      <c r="AL233" t="s">
        <v>1564</v>
      </c>
      <c r="AM233" t="s">
        <v>1263</v>
      </c>
      <c r="AN233" t="s">
        <v>2106</v>
      </c>
      <c r="AO233" t="s">
        <v>2107</v>
      </c>
      <c r="AP233" s="5">
        <v>46267.715277777781</v>
      </c>
      <c r="AQ233" t="s">
        <v>1266</v>
      </c>
      <c r="AR233" t="s">
        <v>1267</v>
      </c>
      <c r="AS233" t="s">
        <v>1268</v>
      </c>
      <c r="AT233" t="s">
        <v>1269</v>
      </c>
      <c r="AU233" t="s">
        <v>1270</v>
      </c>
    </row>
    <row r="234" spans="1:47" x14ac:dyDescent="0.25">
      <c r="A234" s="1" t="s">
        <v>305</v>
      </c>
      <c r="B234" s="1" t="s">
        <v>306</v>
      </c>
      <c r="C234" s="1" t="s">
        <v>306</v>
      </c>
      <c r="D234" s="1" t="s">
        <v>307</v>
      </c>
      <c r="E234" s="1" t="s">
        <v>38</v>
      </c>
      <c r="F234" s="1" t="s">
        <v>39</v>
      </c>
      <c r="G234" s="2">
        <v>-6809</v>
      </c>
      <c r="H234" s="2">
        <v>3832051.64</v>
      </c>
      <c r="I234" s="1" t="s">
        <v>40</v>
      </c>
      <c r="J234" s="1" t="s">
        <v>49</v>
      </c>
      <c r="K234" s="1" t="s">
        <v>283</v>
      </c>
      <c r="L234" s="1" t="s">
        <v>39</v>
      </c>
      <c r="M234" s="1" t="s">
        <v>308</v>
      </c>
      <c r="P234">
        <v>395390</v>
      </c>
      <c r="Q234" t="s">
        <v>1609</v>
      </c>
      <c r="R234" t="s">
        <v>1257</v>
      </c>
      <c r="S234" t="s">
        <v>1258</v>
      </c>
      <c r="T234" t="s">
        <v>1259</v>
      </c>
      <c r="U234">
        <v>6809</v>
      </c>
      <c r="V234" s="8">
        <f>G234+U234</f>
        <v>0</v>
      </c>
      <c r="W234">
        <v>0</v>
      </c>
      <c r="X234">
        <v>57</v>
      </c>
      <c r="Y234">
        <v>0</v>
      </c>
      <c r="Z234">
        <v>0</v>
      </c>
      <c r="AA234">
        <v>0</v>
      </c>
      <c r="AB234">
        <v>178742.8</v>
      </c>
      <c r="AC234" s="4">
        <v>46267</v>
      </c>
      <c r="AD234" t="s">
        <v>2114</v>
      </c>
      <c r="AE234" t="s">
        <v>305</v>
      </c>
      <c r="AH234" t="s">
        <v>1614</v>
      </c>
      <c r="AI234" t="s">
        <v>1261</v>
      </c>
      <c r="AJ234" t="s">
        <v>1262</v>
      </c>
      <c r="AK234">
        <v>765244</v>
      </c>
      <c r="AL234" t="s">
        <v>1614</v>
      </c>
      <c r="AM234" t="s">
        <v>1263</v>
      </c>
      <c r="AN234" t="s">
        <v>2115</v>
      </c>
      <c r="AO234" t="s">
        <v>2116</v>
      </c>
      <c r="AP234" s="5">
        <v>46267.715277777781</v>
      </c>
      <c r="AQ234" t="s">
        <v>1266</v>
      </c>
      <c r="AR234" t="s">
        <v>1267</v>
      </c>
      <c r="AS234" t="s">
        <v>1268</v>
      </c>
      <c r="AT234" t="s">
        <v>1269</v>
      </c>
      <c r="AU234" t="s">
        <v>1270</v>
      </c>
    </row>
    <row r="235" spans="1:47" x14ac:dyDescent="0.25">
      <c r="A235" s="1" t="s">
        <v>301</v>
      </c>
      <c r="B235" s="1" t="s">
        <v>302</v>
      </c>
      <c r="C235" s="1" t="s">
        <v>302</v>
      </c>
      <c r="D235" s="1" t="s">
        <v>303</v>
      </c>
      <c r="E235" s="1" t="s">
        <v>38</v>
      </c>
      <c r="F235" s="1" t="s">
        <v>39</v>
      </c>
      <c r="G235" s="2">
        <v>-4412</v>
      </c>
      <c r="H235" s="2">
        <v>3827591.64</v>
      </c>
      <c r="I235" s="1" t="s">
        <v>40</v>
      </c>
      <c r="J235" s="1" t="s">
        <v>49</v>
      </c>
      <c r="K235" s="1" t="s">
        <v>283</v>
      </c>
      <c r="L235" s="1" t="s">
        <v>39</v>
      </c>
      <c r="M235" s="1" t="s">
        <v>304</v>
      </c>
      <c r="P235">
        <v>395390</v>
      </c>
      <c r="Q235" t="s">
        <v>1609</v>
      </c>
      <c r="R235" t="s">
        <v>1257</v>
      </c>
      <c r="S235" t="s">
        <v>1258</v>
      </c>
      <c r="T235" t="s">
        <v>1259</v>
      </c>
      <c r="U235">
        <v>4412</v>
      </c>
      <c r="V235" s="8">
        <f>G235+U235</f>
        <v>0</v>
      </c>
      <c r="W235">
        <v>0</v>
      </c>
      <c r="X235">
        <v>49</v>
      </c>
      <c r="Y235">
        <v>0</v>
      </c>
      <c r="Z235">
        <v>0</v>
      </c>
      <c r="AA235">
        <v>0</v>
      </c>
      <c r="AB235">
        <v>130394.8</v>
      </c>
      <c r="AC235" s="4">
        <v>46267</v>
      </c>
      <c r="AD235" t="s">
        <v>2123</v>
      </c>
      <c r="AE235" t="s">
        <v>301</v>
      </c>
      <c r="AH235" t="s">
        <v>1614</v>
      </c>
      <c r="AI235" t="s">
        <v>1261</v>
      </c>
      <c r="AJ235" t="s">
        <v>1262</v>
      </c>
      <c r="AK235">
        <v>765244</v>
      </c>
      <c r="AL235" t="s">
        <v>1614</v>
      </c>
      <c r="AM235" t="s">
        <v>1263</v>
      </c>
      <c r="AN235" t="s">
        <v>2124</v>
      </c>
      <c r="AO235" t="s">
        <v>2125</v>
      </c>
      <c r="AP235" s="5">
        <v>46267.715277777781</v>
      </c>
      <c r="AQ235" t="s">
        <v>1266</v>
      </c>
      <c r="AR235" t="s">
        <v>1267</v>
      </c>
      <c r="AS235" t="s">
        <v>1268</v>
      </c>
      <c r="AT235" t="s">
        <v>1269</v>
      </c>
      <c r="AU235" t="s">
        <v>1270</v>
      </c>
    </row>
    <row r="236" spans="1:47" x14ac:dyDescent="0.25">
      <c r="A236" s="1" t="s">
        <v>294</v>
      </c>
      <c r="B236" s="1" t="s">
        <v>287</v>
      </c>
      <c r="C236" s="1" t="s">
        <v>287</v>
      </c>
      <c r="D236" s="1" t="s">
        <v>295</v>
      </c>
      <c r="E236" s="1" t="s">
        <v>38</v>
      </c>
      <c r="F236" s="1" t="s">
        <v>39</v>
      </c>
      <c r="G236" s="2">
        <v>-15236</v>
      </c>
      <c r="H236" s="2">
        <v>3811709.64</v>
      </c>
      <c r="I236" s="1" t="s">
        <v>40</v>
      </c>
      <c r="J236" s="1" t="s">
        <v>49</v>
      </c>
      <c r="K236" s="1" t="s">
        <v>283</v>
      </c>
      <c r="L236" s="1" t="s">
        <v>39</v>
      </c>
      <c r="M236" s="1" t="s">
        <v>296</v>
      </c>
      <c r="P236">
        <v>395390</v>
      </c>
      <c r="Q236" t="s">
        <v>1609</v>
      </c>
      <c r="R236" t="s">
        <v>1257</v>
      </c>
      <c r="S236" t="s">
        <v>1258</v>
      </c>
      <c r="T236" t="s">
        <v>1259</v>
      </c>
      <c r="U236">
        <v>15236</v>
      </c>
      <c r="V236" s="8">
        <f>G236+U236</f>
        <v>0</v>
      </c>
      <c r="W236">
        <v>0</v>
      </c>
      <c r="X236">
        <v>82</v>
      </c>
      <c r="Y236">
        <v>0</v>
      </c>
      <c r="Z236">
        <v>0</v>
      </c>
      <c r="AA236">
        <v>0</v>
      </c>
      <c r="AB236">
        <v>63365.8</v>
      </c>
      <c r="AC236" s="4">
        <v>46267</v>
      </c>
      <c r="AD236" t="s">
        <v>2129</v>
      </c>
      <c r="AE236" t="s">
        <v>294</v>
      </c>
      <c r="AH236" t="s">
        <v>1614</v>
      </c>
      <c r="AI236" t="s">
        <v>1261</v>
      </c>
      <c r="AJ236" t="s">
        <v>1262</v>
      </c>
      <c r="AK236">
        <v>765244</v>
      </c>
      <c r="AL236" t="s">
        <v>1614</v>
      </c>
      <c r="AM236" t="s">
        <v>1263</v>
      </c>
      <c r="AN236" t="s">
        <v>2130</v>
      </c>
      <c r="AO236" t="s">
        <v>2131</v>
      </c>
      <c r="AP236" s="5">
        <v>46267.71597222222</v>
      </c>
      <c r="AQ236" t="s">
        <v>1266</v>
      </c>
      <c r="AR236" t="s">
        <v>1267</v>
      </c>
      <c r="AS236" t="s">
        <v>1268</v>
      </c>
      <c r="AT236" t="s">
        <v>1269</v>
      </c>
      <c r="AU236" t="s">
        <v>1270</v>
      </c>
    </row>
    <row r="237" spans="1:47" x14ac:dyDescent="0.25">
      <c r="A237" s="1" t="s">
        <v>872</v>
      </c>
      <c r="B237" s="1" t="s">
        <v>873</v>
      </c>
      <c r="C237" s="1" t="s">
        <v>873</v>
      </c>
      <c r="D237" s="1" t="s">
        <v>874</v>
      </c>
      <c r="E237" s="1" t="s">
        <v>38</v>
      </c>
      <c r="F237" s="1" t="s">
        <v>39</v>
      </c>
      <c r="G237" s="2">
        <v>-46115</v>
      </c>
      <c r="H237" s="2">
        <v>5433104.6399999997</v>
      </c>
      <c r="I237" s="1" t="s">
        <v>40</v>
      </c>
      <c r="J237" s="1" t="s">
        <v>49</v>
      </c>
      <c r="K237" s="1" t="s">
        <v>77</v>
      </c>
      <c r="L237" s="1" t="s">
        <v>39</v>
      </c>
      <c r="M237" s="1" t="s">
        <v>875</v>
      </c>
      <c r="P237">
        <v>110311</v>
      </c>
      <c r="Q237" t="s">
        <v>1415</v>
      </c>
      <c r="R237" t="s">
        <v>1416</v>
      </c>
      <c r="S237" t="s">
        <v>1258</v>
      </c>
      <c r="T237" t="s">
        <v>1259</v>
      </c>
      <c r="U237">
        <v>46115</v>
      </c>
      <c r="V237" s="8">
        <f>G237+U237</f>
        <v>0</v>
      </c>
      <c r="W237">
        <v>0</v>
      </c>
      <c r="X237">
        <v>136</v>
      </c>
      <c r="Y237">
        <v>0</v>
      </c>
      <c r="Z237">
        <v>1</v>
      </c>
      <c r="AA237">
        <v>0</v>
      </c>
      <c r="AB237">
        <v>438682</v>
      </c>
      <c r="AC237" s="4">
        <v>46267</v>
      </c>
      <c r="AD237" t="s">
        <v>1603</v>
      </c>
      <c r="AE237" t="s">
        <v>872</v>
      </c>
      <c r="AH237" t="s">
        <v>1604</v>
      </c>
      <c r="AI237" t="s">
        <v>1261</v>
      </c>
      <c r="AJ237" t="s">
        <v>1262</v>
      </c>
      <c r="AK237">
        <v>880100</v>
      </c>
      <c r="AL237" t="s">
        <v>1604</v>
      </c>
      <c r="AM237" t="s">
        <v>1263</v>
      </c>
      <c r="AN237" t="s">
        <v>1605</v>
      </c>
      <c r="AO237" t="s">
        <v>875</v>
      </c>
      <c r="AP237" s="5">
        <v>46267.679166666669</v>
      </c>
      <c r="AQ237" t="s">
        <v>1266</v>
      </c>
      <c r="AS237" t="s">
        <v>1268</v>
      </c>
      <c r="AT237" t="s">
        <v>1269</v>
      </c>
      <c r="AU237" t="s">
        <v>1270</v>
      </c>
    </row>
    <row r="238" spans="1:47" x14ac:dyDescent="0.25">
      <c r="A238" s="1" t="s">
        <v>854</v>
      </c>
      <c r="B238" s="1" t="s">
        <v>855</v>
      </c>
      <c r="C238" s="1" t="s">
        <v>855</v>
      </c>
      <c r="D238" s="1" t="s">
        <v>856</v>
      </c>
      <c r="E238" s="1" t="s">
        <v>38</v>
      </c>
      <c r="F238" s="1" t="s">
        <v>39</v>
      </c>
      <c r="G238" s="2">
        <v>-3640</v>
      </c>
      <c r="H238" s="2">
        <v>5388644.6399999997</v>
      </c>
      <c r="I238" s="1" t="s">
        <v>40</v>
      </c>
      <c r="J238" s="1" t="s">
        <v>49</v>
      </c>
      <c r="K238" s="1" t="s">
        <v>283</v>
      </c>
      <c r="L238" s="1" t="s">
        <v>39</v>
      </c>
      <c r="M238" s="1" t="s">
        <v>857</v>
      </c>
      <c r="P238">
        <v>395390</v>
      </c>
      <c r="Q238" t="s">
        <v>1609</v>
      </c>
      <c r="R238" t="s">
        <v>1257</v>
      </c>
      <c r="S238" t="s">
        <v>1258</v>
      </c>
      <c r="T238" t="s">
        <v>1259</v>
      </c>
      <c r="U238">
        <v>3640</v>
      </c>
      <c r="V238" s="8">
        <f>G238+U238</f>
        <v>0</v>
      </c>
      <c r="W238">
        <v>0</v>
      </c>
      <c r="X238">
        <v>49</v>
      </c>
      <c r="Y238">
        <v>0</v>
      </c>
      <c r="Z238">
        <v>0</v>
      </c>
      <c r="AA238">
        <v>0</v>
      </c>
      <c r="AB238">
        <v>4339636</v>
      </c>
      <c r="AC238" s="4">
        <v>46267</v>
      </c>
      <c r="AD238" t="s">
        <v>1620</v>
      </c>
      <c r="AE238" t="s">
        <v>854</v>
      </c>
      <c r="AH238" t="s">
        <v>1614</v>
      </c>
      <c r="AI238" t="s">
        <v>1261</v>
      </c>
      <c r="AJ238" t="s">
        <v>1262</v>
      </c>
      <c r="AK238">
        <v>765244</v>
      </c>
      <c r="AL238" t="s">
        <v>1614</v>
      </c>
      <c r="AM238" t="s">
        <v>1263</v>
      </c>
      <c r="AN238" t="s">
        <v>1621</v>
      </c>
      <c r="AO238" t="s">
        <v>1622</v>
      </c>
      <c r="AP238" s="5">
        <v>46267.684027777781</v>
      </c>
      <c r="AQ238" t="s">
        <v>1266</v>
      </c>
      <c r="AR238" t="s">
        <v>1267</v>
      </c>
      <c r="AS238" t="s">
        <v>1268</v>
      </c>
      <c r="AT238" t="s">
        <v>1269</v>
      </c>
      <c r="AU238" t="s">
        <v>1270</v>
      </c>
    </row>
    <row r="239" spans="1:47" x14ac:dyDescent="0.25">
      <c r="A239" s="1" t="s">
        <v>794</v>
      </c>
      <c r="B239" s="1" t="s">
        <v>795</v>
      </c>
      <c r="C239" s="1" t="s">
        <v>795</v>
      </c>
      <c r="D239" s="1" t="s">
        <v>796</v>
      </c>
      <c r="E239" s="1" t="s">
        <v>38</v>
      </c>
      <c r="F239" s="1" t="s">
        <v>39</v>
      </c>
      <c r="G239" s="2">
        <v>-51194</v>
      </c>
      <c r="H239" s="2">
        <v>5265171.6399999997</v>
      </c>
      <c r="I239" s="1" t="s">
        <v>40</v>
      </c>
      <c r="J239" s="1" t="s">
        <v>49</v>
      </c>
      <c r="K239" s="1" t="s">
        <v>283</v>
      </c>
      <c r="L239" s="1" t="s">
        <v>39</v>
      </c>
      <c r="M239" s="1" t="s">
        <v>797</v>
      </c>
      <c r="P239">
        <v>395390</v>
      </c>
      <c r="Q239" t="s">
        <v>1609</v>
      </c>
      <c r="R239" t="s">
        <v>1257</v>
      </c>
      <c r="S239" t="s">
        <v>1258</v>
      </c>
      <c r="T239" t="s">
        <v>1259</v>
      </c>
      <c r="U239">
        <v>51194</v>
      </c>
      <c r="V239" s="8">
        <f>G239+U239</f>
        <v>0</v>
      </c>
      <c r="W239">
        <v>0</v>
      </c>
      <c r="X239">
        <v>136</v>
      </c>
      <c r="Y239">
        <v>0</v>
      </c>
      <c r="Z239">
        <v>0</v>
      </c>
      <c r="AA239">
        <v>0</v>
      </c>
      <c r="AB239">
        <v>3921846.8</v>
      </c>
      <c r="AC239" s="4">
        <v>46267</v>
      </c>
      <c r="AD239" t="s">
        <v>1666</v>
      </c>
      <c r="AE239" t="s">
        <v>794</v>
      </c>
      <c r="AH239" t="s">
        <v>1614</v>
      </c>
      <c r="AI239" t="s">
        <v>1261</v>
      </c>
      <c r="AJ239" t="s">
        <v>1262</v>
      </c>
      <c r="AK239">
        <v>765244</v>
      </c>
      <c r="AL239" t="s">
        <v>1614</v>
      </c>
      <c r="AM239" t="s">
        <v>1263</v>
      </c>
      <c r="AN239" t="s">
        <v>1667</v>
      </c>
      <c r="AO239" t="s">
        <v>1668</v>
      </c>
      <c r="AP239" s="5">
        <v>46267.684027777781</v>
      </c>
      <c r="AQ239" t="s">
        <v>1266</v>
      </c>
      <c r="AR239" t="s">
        <v>1267</v>
      </c>
      <c r="AS239" t="s">
        <v>1268</v>
      </c>
      <c r="AT239" t="s">
        <v>1269</v>
      </c>
      <c r="AU239" t="s">
        <v>1270</v>
      </c>
    </row>
    <row r="240" spans="1:47" x14ac:dyDescent="0.25">
      <c r="A240" s="1" t="s">
        <v>786</v>
      </c>
      <c r="B240" s="1" t="s">
        <v>787</v>
      </c>
      <c r="C240" s="1" t="s">
        <v>788</v>
      </c>
      <c r="D240" s="1" t="s">
        <v>319</v>
      </c>
      <c r="E240" s="1" t="s">
        <v>38</v>
      </c>
      <c r="F240" s="1" t="s">
        <v>39</v>
      </c>
      <c r="G240" s="2">
        <v>-594</v>
      </c>
      <c r="H240" s="2">
        <v>5259207.6399999997</v>
      </c>
      <c r="I240" s="1" t="s">
        <v>40</v>
      </c>
      <c r="J240" s="1" t="s">
        <v>49</v>
      </c>
      <c r="K240" s="1" t="s">
        <v>279</v>
      </c>
      <c r="L240" s="1" t="s">
        <v>39</v>
      </c>
      <c r="M240" s="1" t="s">
        <v>320</v>
      </c>
      <c r="P240">
        <v>395390</v>
      </c>
      <c r="Q240" t="s">
        <v>1609</v>
      </c>
      <c r="R240" t="s">
        <v>1257</v>
      </c>
      <c r="S240" t="s">
        <v>1258</v>
      </c>
      <c r="T240" t="s">
        <v>1259</v>
      </c>
      <c r="U240">
        <v>594</v>
      </c>
      <c r="V240" s="8">
        <f>G240+U240</f>
        <v>0</v>
      </c>
      <c r="W240">
        <v>0</v>
      </c>
      <c r="X240">
        <v>20</v>
      </c>
      <c r="Y240">
        <v>0</v>
      </c>
      <c r="Z240">
        <v>0</v>
      </c>
      <c r="AA240">
        <v>0</v>
      </c>
      <c r="AB240">
        <v>3796520.8</v>
      </c>
      <c r="AC240" s="4">
        <v>46267</v>
      </c>
      <c r="AD240" t="s">
        <v>1672</v>
      </c>
      <c r="AE240" t="s">
        <v>786</v>
      </c>
      <c r="AH240" t="s">
        <v>1564</v>
      </c>
      <c r="AI240" t="s">
        <v>1261</v>
      </c>
      <c r="AJ240" t="s">
        <v>1262</v>
      </c>
      <c r="AK240">
        <v>852648</v>
      </c>
      <c r="AL240" t="s">
        <v>1564</v>
      </c>
      <c r="AM240" t="s">
        <v>1263</v>
      </c>
      <c r="AN240" t="s">
        <v>1673</v>
      </c>
      <c r="AO240" t="s">
        <v>1674</v>
      </c>
      <c r="AP240" s="5">
        <v>46267.684027777781</v>
      </c>
      <c r="AQ240" t="s">
        <v>1266</v>
      </c>
      <c r="AR240" t="s">
        <v>1267</v>
      </c>
      <c r="AS240" t="s">
        <v>1268</v>
      </c>
      <c r="AT240" t="s">
        <v>1269</v>
      </c>
      <c r="AU240" t="s">
        <v>1270</v>
      </c>
    </row>
    <row r="241" spans="1:47" x14ac:dyDescent="0.25">
      <c r="A241" s="1" t="s">
        <v>735</v>
      </c>
      <c r="B241" s="1" t="s">
        <v>732</v>
      </c>
      <c r="C241" s="1" t="s">
        <v>732</v>
      </c>
      <c r="D241" s="1" t="s">
        <v>736</v>
      </c>
      <c r="E241" s="1" t="s">
        <v>38</v>
      </c>
      <c r="F241" s="1" t="s">
        <v>39</v>
      </c>
      <c r="G241" s="2">
        <v>-4815</v>
      </c>
      <c r="H241" s="2">
        <v>5205877.6399999997</v>
      </c>
      <c r="I241" s="1" t="s">
        <v>40</v>
      </c>
      <c r="J241" s="1" t="s">
        <v>49</v>
      </c>
      <c r="K241" s="1" t="s">
        <v>283</v>
      </c>
      <c r="L241" s="1" t="s">
        <v>39</v>
      </c>
      <c r="M241" s="1" t="s">
        <v>737</v>
      </c>
      <c r="P241">
        <v>395390</v>
      </c>
      <c r="Q241" t="s">
        <v>1609</v>
      </c>
      <c r="R241" t="s">
        <v>1257</v>
      </c>
      <c r="S241" t="s">
        <v>1258</v>
      </c>
      <c r="T241" t="s">
        <v>1259</v>
      </c>
      <c r="U241">
        <v>4815</v>
      </c>
      <c r="V241" s="8">
        <f>G241+U241</f>
        <v>0</v>
      </c>
      <c r="W241">
        <v>0</v>
      </c>
      <c r="X241">
        <v>49</v>
      </c>
      <c r="Y241">
        <v>0</v>
      </c>
      <c r="Z241">
        <v>0</v>
      </c>
      <c r="AA241">
        <v>0</v>
      </c>
      <c r="AB241">
        <v>3647963.8</v>
      </c>
      <c r="AC241" s="4">
        <v>46267</v>
      </c>
      <c r="AD241" t="s">
        <v>1724</v>
      </c>
      <c r="AE241" t="s">
        <v>735</v>
      </c>
      <c r="AH241" t="s">
        <v>1614</v>
      </c>
      <c r="AI241" t="s">
        <v>1261</v>
      </c>
      <c r="AJ241" t="s">
        <v>1262</v>
      </c>
      <c r="AK241">
        <v>765244</v>
      </c>
      <c r="AL241" t="s">
        <v>1614</v>
      </c>
      <c r="AM241" t="s">
        <v>1263</v>
      </c>
      <c r="AN241" t="s">
        <v>1725</v>
      </c>
      <c r="AO241" t="s">
        <v>1726</v>
      </c>
      <c r="AP241" s="5">
        <v>46267.692361111112</v>
      </c>
      <c r="AQ241" t="s">
        <v>1266</v>
      </c>
      <c r="AR241" t="s">
        <v>1267</v>
      </c>
      <c r="AS241" t="s">
        <v>1268</v>
      </c>
      <c r="AT241" t="s">
        <v>1269</v>
      </c>
      <c r="AU241" t="s">
        <v>1270</v>
      </c>
    </row>
    <row r="242" spans="1:47" x14ac:dyDescent="0.25">
      <c r="A242" s="1" t="s">
        <v>678</v>
      </c>
      <c r="B242" s="1" t="s">
        <v>679</v>
      </c>
      <c r="C242" s="1" t="s">
        <v>680</v>
      </c>
      <c r="D242" s="1" t="s">
        <v>681</v>
      </c>
      <c r="E242" s="1" t="s">
        <v>38</v>
      </c>
      <c r="F242" s="1" t="s">
        <v>39</v>
      </c>
      <c r="G242" s="2">
        <v>-10139</v>
      </c>
      <c r="H242" s="2">
        <v>5051148.6399999997</v>
      </c>
      <c r="I242" s="1" t="s">
        <v>40</v>
      </c>
      <c r="J242" s="1" t="s">
        <v>49</v>
      </c>
      <c r="K242" s="1" t="s">
        <v>289</v>
      </c>
      <c r="L242" s="1" t="s">
        <v>39</v>
      </c>
      <c r="M242" s="1" t="s">
        <v>682</v>
      </c>
      <c r="P242">
        <v>395390</v>
      </c>
      <c r="Q242" t="s">
        <v>1609</v>
      </c>
      <c r="R242" t="s">
        <v>1257</v>
      </c>
      <c r="S242" t="s">
        <v>1258</v>
      </c>
      <c r="T242" t="s">
        <v>1259</v>
      </c>
      <c r="U242">
        <v>10139</v>
      </c>
      <c r="V242" s="8">
        <f>G242+U242</f>
        <v>0</v>
      </c>
      <c r="W242">
        <v>0</v>
      </c>
      <c r="X242">
        <v>72</v>
      </c>
      <c r="Y242">
        <v>0</v>
      </c>
      <c r="Z242">
        <v>0</v>
      </c>
      <c r="AA242">
        <v>0</v>
      </c>
      <c r="AB242">
        <v>3229985.8</v>
      </c>
      <c r="AC242" s="4">
        <v>46267</v>
      </c>
      <c r="AD242" t="s">
        <v>1775</v>
      </c>
      <c r="AE242" t="s">
        <v>678</v>
      </c>
      <c r="AH242" t="s">
        <v>1627</v>
      </c>
      <c r="AI242" t="s">
        <v>1261</v>
      </c>
      <c r="AJ242" t="s">
        <v>1262</v>
      </c>
      <c r="AK242">
        <v>350050</v>
      </c>
      <c r="AL242" t="s">
        <v>1627</v>
      </c>
      <c r="AM242" t="s">
        <v>1263</v>
      </c>
      <c r="AN242" t="s">
        <v>1776</v>
      </c>
      <c r="AO242" t="s">
        <v>1777</v>
      </c>
      <c r="AP242" s="5">
        <v>46267.692361111112</v>
      </c>
      <c r="AQ242" t="s">
        <v>1266</v>
      </c>
      <c r="AR242" t="s">
        <v>1267</v>
      </c>
      <c r="AS242" t="s">
        <v>1268</v>
      </c>
      <c r="AT242" t="s">
        <v>1269</v>
      </c>
      <c r="AU242" t="s">
        <v>1270</v>
      </c>
    </row>
    <row r="243" spans="1:47" x14ac:dyDescent="0.25">
      <c r="A243" s="1" t="s">
        <v>647</v>
      </c>
      <c r="B243" s="1" t="s">
        <v>645</v>
      </c>
      <c r="C243" s="1" t="s">
        <v>648</v>
      </c>
      <c r="D243" s="1" t="s">
        <v>649</v>
      </c>
      <c r="E243" s="1" t="s">
        <v>38</v>
      </c>
      <c r="F243" s="1" t="s">
        <v>39</v>
      </c>
      <c r="G243" s="2">
        <v>-12508</v>
      </c>
      <c r="H243" s="2">
        <v>4974689.6399999997</v>
      </c>
      <c r="I243" s="1" t="s">
        <v>40</v>
      </c>
      <c r="J243" s="1" t="s">
        <v>49</v>
      </c>
      <c r="K243" s="1" t="s">
        <v>289</v>
      </c>
      <c r="L243" s="1" t="s">
        <v>39</v>
      </c>
      <c r="M243" s="1" t="s">
        <v>650</v>
      </c>
      <c r="P243">
        <v>395390</v>
      </c>
      <c r="Q243" t="s">
        <v>1609</v>
      </c>
      <c r="R243" t="s">
        <v>1257</v>
      </c>
      <c r="S243" t="s">
        <v>1258</v>
      </c>
      <c r="T243" t="s">
        <v>1259</v>
      </c>
      <c r="U243">
        <v>12508</v>
      </c>
      <c r="V243" s="8">
        <f>G243+U243</f>
        <v>0</v>
      </c>
      <c r="W243">
        <v>0</v>
      </c>
      <c r="X243">
        <v>72</v>
      </c>
      <c r="Y243">
        <v>0</v>
      </c>
      <c r="Z243">
        <v>0</v>
      </c>
      <c r="AA243">
        <v>0</v>
      </c>
      <c r="AB243">
        <v>3049058.8</v>
      </c>
      <c r="AC243" s="4">
        <v>46267</v>
      </c>
      <c r="AD243" t="s">
        <v>1809</v>
      </c>
      <c r="AE243" t="s">
        <v>647</v>
      </c>
      <c r="AH243" t="s">
        <v>1627</v>
      </c>
      <c r="AI243" t="s">
        <v>1261</v>
      </c>
      <c r="AJ243" t="s">
        <v>1262</v>
      </c>
      <c r="AK243">
        <v>350050</v>
      </c>
      <c r="AL243" t="s">
        <v>1627</v>
      </c>
      <c r="AM243" t="s">
        <v>1263</v>
      </c>
      <c r="AN243" t="s">
        <v>1810</v>
      </c>
      <c r="AO243" t="s">
        <v>1811</v>
      </c>
      <c r="AP243" s="5">
        <v>46267.692361111112</v>
      </c>
      <c r="AQ243" t="s">
        <v>1266</v>
      </c>
      <c r="AR243" t="s">
        <v>1267</v>
      </c>
      <c r="AS243" t="s">
        <v>1268</v>
      </c>
      <c r="AT243" t="s">
        <v>1269</v>
      </c>
      <c r="AU243" t="s">
        <v>1270</v>
      </c>
    </row>
    <row r="244" spans="1:47" x14ac:dyDescent="0.25">
      <c r="A244" s="1" t="s">
        <v>627</v>
      </c>
      <c r="B244" s="1" t="s">
        <v>596</v>
      </c>
      <c r="C244" s="1" t="s">
        <v>596</v>
      </c>
      <c r="D244" s="1" t="s">
        <v>628</v>
      </c>
      <c r="E244" s="1" t="s">
        <v>38</v>
      </c>
      <c r="F244" s="1" t="s">
        <v>39</v>
      </c>
      <c r="G244" s="2">
        <v>-1833</v>
      </c>
      <c r="H244" s="2">
        <v>4915300.6399999997</v>
      </c>
      <c r="I244" s="1" t="s">
        <v>40</v>
      </c>
      <c r="J244" s="1" t="s">
        <v>49</v>
      </c>
      <c r="K244" s="1" t="s">
        <v>283</v>
      </c>
      <c r="L244" s="1" t="s">
        <v>39</v>
      </c>
      <c r="M244" s="1" t="s">
        <v>629</v>
      </c>
      <c r="P244">
        <v>395390</v>
      </c>
      <c r="Q244" t="s">
        <v>1609</v>
      </c>
      <c r="R244" t="s">
        <v>1257</v>
      </c>
      <c r="S244" t="s">
        <v>1258</v>
      </c>
      <c r="T244" t="s">
        <v>1259</v>
      </c>
      <c r="U244">
        <v>1833</v>
      </c>
      <c r="V244" s="8">
        <f>G244+U244</f>
        <v>0</v>
      </c>
      <c r="W244">
        <v>0</v>
      </c>
      <c r="X244">
        <v>35</v>
      </c>
      <c r="Y244">
        <v>0</v>
      </c>
      <c r="Z244">
        <v>0</v>
      </c>
      <c r="AA244">
        <v>0</v>
      </c>
      <c r="AB244">
        <v>2813462.8</v>
      </c>
      <c r="AC244" s="4">
        <v>46267</v>
      </c>
      <c r="AD244" t="s">
        <v>1841</v>
      </c>
      <c r="AE244" t="s">
        <v>627</v>
      </c>
      <c r="AH244" t="s">
        <v>1614</v>
      </c>
      <c r="AI244" t="s">
        <v>1261</v>
      </c>
      <c r="AJ244" t="s">
        <v>1262</v>
      </c>
      <c r="AK244">
        <v>765244</v>
      </c>
      <c r="AL244" t="s">
        <v>1614</v>
      </c>
      <c r="AM244" t="s">
        <v>1263</v>
      </c>
      <c r="AN244" t="s">
        <v>1842</v>
      </c>
      <c r="AO244" t="s">
        <v>1843</v>
      </c>
      <c r="AP244" s="5">
        <v>46267.692361111112</v>
      </c>
      <c r="AQ244" t="s">
        <v>1266</v>
      </c>
      <c r="AR244" t="s">
        <v>1267</v>
      </c>
      <c r="AS244" t="s">
        <v>1268</v>
      </c>
      <c r="AT244" t="s">
        <v>1269</v>
      </c>
      <c r="AU244" t="s">
        <v>1270</v>
      </c>
    </row>
    <row r="245" spans="1:47" x14ac:dyDescent="0.25">
      <c r="A245" s="1" t="s">
        <v>606</v>
      </c>
      <c r="B245" s="1" t="s">
        <v>600</v>
      </c>
      <c r="C245" s="1" t="s">
        <v>600</v>
      </c>
      <c r="D245" s="1" t="s">
        <v>607</v>
      </c>
      <c r="E245" s="1" t="s">
        <v>38</v>
      </c>
      <c r="F245" s="1" t="s">
        <v>39</v>
      </c>
      <c r="G245" s="2">
        <v>-20836</v>
      </c>
      <c r="H245" s="2">
        <v>4844027.6399999997</v>
      </c>
      <c r="I245" s="1" t="s">
        <v>40</v>
      </c>
      <c r="J245" s="1" t="s">
        <v>49</v>
      </c>
      <c r="K245" s="1" t="s">
        <v>283</v>
      </c>
      <c r="L245" s="1" t="s">
        <v>39</v>
      </c>
      <c r="M245" s="1" t="s">
        <v>608</v>
      </c>
      <c r="P245">
        <v>395390</v>
      </c>
      <c r="Q245" t="s">
        <v>1609</v>
      </c>
      <c r="R245" t="s">
        <v>1257</v>
      </c>
      <c r="S245" t="s">
        <v>1258</v>
      </c>
      <c r="T245" t="s">
        <v>1259</v>
      </c>
      <c r="U245">
        <v>20836</v>
      </c>
      <c r="V245" s="8">
        <f>G245+U245</f>
        <v>0</v>
      </c>
      <c r="W245">
        <v>0</v>
      </c>
      <c r="X245">
        <v>87</v>
      </c>
      <c r="Y245">
        <v>0</v>
      </c>
      <c r="Z245">
        <v>0</v>
      </c>
      <c r="AA245">
        <v>0</v>
      </c>
      <c r="AB245">
        <v>2836189.8</v>
      </c>
      <c r="AC245" s="4">
        <v>46267</v>
      </c>
      <c r="AD245" t="s">
        <v>1832</v>
      </c>
      <c r="AE245" t="s">
        <v>606</v>
      </c>
      <c r="AH245" t="s">
        <v>1614</v>
      </c>
      <c r="AI245" t="s">
        <v>1261</v>
      </c>
      <c r="AJ245" t="s">
        <v>1262</v>
      </c>
      <c r="AK245">
        <v>765244</v>
      </c>
      <c r="AL245" t="s">
        <v>1614</v>
      </c>
      <c r="AM245" t="s">
        <v>1263</v>
      </c>
      <c r="AN245" t="s">
        <v>1833</v>
      </c>
      <c r="AO245" t="s">
        <v>1834</v>
      </c>
      <c r="AP245" s="5">
        <v>46267.692361111112</v>
      </c>
      <c r="AQ245" t="s">
        <v>1266</v>
      </c>
      <c r="AR245" t="s">
        <v>1267</v>
      </c>
      <c r="AS245" t="s">
        <v>1268</v>
      </c>
      <c r="AT245" t="s">
        <v>1269</v>
      </c>
      <c r="AU245" t="s">
        <v>1270</v>
      </c>
    </row>
    <row r="246" spans="1:47" x14ac:dyDescent="0.25">
      <c r="A246" s="1" t="s">
        <v>593</v>
      </c>
      <c r="B246" s="1" t="s">
        <v>594</v>
      </c>
      <c r="C246" s="1" t="s">
        <v>578</v>
      </c>
      <c r="D246" s="1" t="s">
        <v>299</v>
      </c>
      <c r="E246" s="1" t="s">
        <v>38</v>
      </c>
      <c r="F246" s="1" t="s">
        <v>39</v>
      </c>
      <c r="G246" s="2">
        <v>-10409</v>
      </c>
      <c r="H246" s="2">
        <v>4794973.6399999997</v>
      </c>
      <c r="I246" s="1" t="s">
        <v>40</v>
      </c>
      <c r="J246" s="1" t="s">
        <v>49</v>
      </c>
      <c r="K246" s="1" t="s">
        <v>283</v>
      </c>
      <c r="L246" s="1" t="s">
        <v>39</v>
      </c>
      <c r="M246" s="1" t="s">
        <v>300</v>
      </c>
      <c r="P246">
        <v>395390</v>
      </c>
      <c r="Q246" t="s">
        <v>1609</v>
      </c>
      <c r="R246" t="s">
        <v>1257</v>
      </c>
      <c r="S246" t="s">
        <v>1258</v>
      </c>
      <c r="T246" t="s">
        <v>1259</v>
      </c>
      <c r="U246">
        <v>10409</v>
      </c>
      <c r="V246" s="8">
        <f>G246+U246</f>
        <v>0</v>
      </c>
      <c r="W246">
        <v>0</v>
      </c>
      <c r="X246">
        <v>72</v>
      </c>
      <c r="Y246">
        <v>0</v>
      </c>
      <c r="Z246">
        <v>0</v>
      </c>
      <c r="AA246">
        <v>0</v>
      </c>
      <c r="AB246">
        <v>2580034.7999999998</v>
      </c>
      <c r="AC246" s="4">
        <v>46267</v>
      </c>
      <c r="AD246" t="s">
        <v>1877</v>
      </c>
      <c r="AE246" t="s">
        <v>593</v>
      </c>
      <c r="AH246" t="s">
        <v>1614</v>
      </c>
      <c r="AI246" t="s">
        <v>1261</v>
      </c>
      <c r="AJ246" t="s">
        <v>1262</v>
      </c>
      <c r="AK246">
        <v>765244</v>
      </c>
      <c r="AL246" t="s">
        <v>1614</v>
      </c>
      <c r="AM246" t="s">
        <v>1263</v>
      </c>
      <c r="AN246" t="s">
        <v>1878</v>
      </c>
      <c r="AO246" t="s">
        <v>1879</v>
      </c>
      <c r="AP246" s="5">
        <v>46267.692361111112</v>
      </c>
      <c r="AQ246" t="s">
        <v>1266</v>
      </c>
      <c r="AR246" t="s">
        <v>1267</v>
      </c>
      <c r="AS246" t="s">
        <v>1268</v>
      </c>
      <c r="AT246" t="s">
        <v>1269</v>
      </c>
      <c r="AU246" t="s">
        <v>1270</v>
      </c>
    </row>
    <row r="247" spans="1:47" x14ac:dyDescent="0.25">
      <c r="A247" s="1" t="s">
        <v>565</v>
      </c>
      <c r="B247" s="1" t="s">
        <v>556</v>
      </c>
      <c r="C247" s="1" t="s">
        <v>556</v>
      </c>
      <c r="D247" s="1" t="s">
        <v>566</v>
      </c>
      <c r="E247" s="1" t="s">
        <v>38</v>
      </c>
      <c r="F247" s="1" t="s">
        <v>39</v>
      </c>
      <c r="G247" s="2">
        <v>-3860</v>
      </c>
      <c r="H247" s="2">
        <v>4721909.6399999997</v>
      </c>
      <c r="I247" s="1" t="s">
        <v>40</v>
      </c>
      <c r="J247" s="1" t="s">
        <v>49</v>
      </c>
      <c r="K247" s="1" t="s">
        <v>283</v>
      </c>
      <c r="L247" s="1" t="s">
        <v>39</v>
      </c>
      <c r="M247" s="1" t="s">
        <v>567</v>
      </c>
      <c r="P247">
        <v>395390</v>
      </c>
      <c r="Q247" t="s">
        <v>1609</v>
      </c>
      <c r="R247" t="s">
        <v>1257</v>
      </c>
      <c r="S247" t="s">
        <v>1258</v>
      </c>
      <c r="T247" t="s">
        <v>1259</v>
      </c>
      <c r="U247">
        <v>3860</v>
      </c>
      <c r="V247" s="8">
        <f>G247+U247</f>
        <v>0</v>
      </c>
      <c r="W247">
        <v>0</v>
      </c>
      <c r="X247">
        <v>49</v>
      </c>
      <c r="Y247">
        <v>0</v>
      </c>
      <c r="Z247">
        <v>0</v>
      </c>
      <c r="AA247">
        <v>0</v>
      </c>
      <c r="AB247">
        <v>2538757.7999999998</v>
      </c>
      <c r="AC247" s="4">
        <v>46267</v>
      </c>
      <c r="AD247" t="s">
        <v>1889</v>
      </c>
      <c r="AE247" t="s">
        <v>565</v>
      </c>
      <c r="AH247" t="s">
        <v>1614</v>
      </c>
      <c r="AI247" t="s">
        <v>1261</v>
      </c>
      <c r="AJ247" t="s">
        <v>1262</v>
      </c>
      <c r="AK247">
        <v>765244</v>
      </c>
      <c r="AL247" t="s">
        <v>1614</v>
      </c>
      <c r="AM247" t="s">
        <v>1263</v>
      </c>
      <c r="AN247" t="s">
        <v>1890</v>
      </c>
      <c r="AO247" t="s">
        <v>1891</v>
      </c>
      <c r="AP247" s="5">
        <v>46267.692361111112</v>
      </c>
      <c r="AQ247" t="s">
        <v>1266</v>
      </c>
      <c r="AR247" t="s">
        <v>1267</v>
      </c>
      <c r="AS247" t="s">
        <v>1268</v>
      </c>
      <c r="AT247" t="s">
        <v>1269</v>
      </c>
      <c r="AU247" t="s">
        <v>1270</v>
      </c>
    </row>
    <row r="248" spans="1:47" x14ac:dyDescent="0.25">
      <c r="A248" s="1" t="s">
        <v>540</v>
      </c>
      <c r="B248" s="1" t="s">
        <v>511</v>
      </c>
      <c r="C248" s="1" t="s">
        <v>515</v>
      </c>
      <c r="D248" s="1" t="s">
        <v>541</v>
      </c>
      <c r="E248" s="1" t="s">
        <v>38</v>
      </c>
      <c r="F248" s="1" t="s">
        <v>39</v>
      </c>
      <c r="G248" s="2">
        <v>-25965</v>
      </c>
      <c r="H248" s="2">
        <v>4646993.6399999997</v>
      </c>
      <c r="I248" s="1" t="s">
        <v>40</v>
      </c>
      <c r="J248" s="1" t="s">
        <v>49</v>
      </c>
      <c r="K248" s="1" t="s">
        <v>289</v>
      </c>
      <c r="L248" s="1" t="s">
        <v>39</v>
      </c>
      <c r="M248" s="1" t="s">
        <v>542</v>
      </c>
      <c r="P248">
        <v>395390</v>
      </c>
      <c r="Q248" t="s">
        <v>1609</v>
      </c>
      <c r="R248" t="s">
        <v>1257</v>
      </c>
      <c r="S248" t="s">
        <v>1258</v>
      </c>
      <c r="T248" t="s">
        <v>1259</v>
      </c>
      <c r="U248">
        <v>25965</v>
      </c>
      <c r="V248" s="8">
        <f>G248+U248</f>
        <v>0</v>
      </c>
      <c r="W248">
        <v>0</v>
      </c>
      <c r="X248">
        <v>92</v>
      </c>
      <c r="Y248">
        <v>0</v>
      </c>
      <c r="Z248">
        <v>0</v>
      </c>
      <c r="AA248">
        <v>0</v>
      </c>
      <c r="AB248">
        <v>2291150.7999999998</v>
      </c>
      <c r="AC248" s="4">
        <v>46267</v>
      </c>
      <c r="AD248" t="s">
        <v>1932</v>
      </c>
      <c r="AE248" t="s">
        <v>540</v>
      </c>
      <c r="AH248" t="s">
        <v>1627</v>
      </c>
      <c r="AI248" t="s">
        <v>1261</v>
      </c>
      <c r="AJ248" t="s">
        <v>1262</v>
      </c>
      <c r="AK248">
        <v>350050</v>
      </c>
      <c r="AL248" t="s">
        <v>1627</v>
      </c>
      <c r="AM248" t="s">
        <v>1263</v>
      </c>
      <c r="AN248" t="s">
        <v>1933</v>
      </c>
      <c r="AO248" t="s">
        <v>1934</v>
      </c>
      <c r="AP248" s="5">
        <v>46267.692361111112</v>
      </c>
      <c r="AQ248" t="s">
        <v>1266</v>
      </c>
      <c r="AR248" t="s">
        <v>1267</v>
      </c>
      <c r="AS248" t="s">
        <v>1268</v>
      </c>
      <c r="AT248" t="s">
        <v>1269</v>
      </c>
      <c r="AU248" t="s">
        <v>1270</v>
      </c>
    </row>
    <row r="249" spans="1:47" x14ac:dyDescent="0.25">
      <c r="A249" s="1" t="s">
        <v>501</v>
      </c>
      <c r="B249" s="1" t="s">
        <v>498</v>
      </c>
      <c r="C249" s="1" t="s">
        <v>491</v>
      </c>
      <c r="D249" s="1" t="s">
        <v>502</v>
      </c>
      <c r="E249" s="1" t="s">
        <v>38</v>
      </c>
      <c r="F249" s="1" t="s">
        <v>39</v>
      </c>
      <c r="G249" s="2">
        <v>-3030</v>
      </c>
      <c r="H249" s="2">
        <v>4441769.6399999997</v>
      </c>
      <c r="I249" s="1" t="s">
        <v>40</v>
      </c>
      <c r="J249" s="1" t="s">
        <v>49</v>
      </c>
      <c r="K249" s="1" t="s">
        <v>289</v>
      </c>
      <c r="L249" s="1" t="s">
        <v>39</v>
      </c>
      <c r="M249" s="1" t="s">
        <v>503</v>
      </c>
      <c r="P249">
        <v>395390</v>
      </c>
      <c r="Q249" t="s">
        <v>1609</v>
      </c>
      <c r="R249" t="s">
        <v>1257</v>
      </c>
      <c r="S249" t="s">
        <v>1258</v>
      </c>
      <c r="T249" t="s">
        <v>1259</v>
      </c>
      <c r="U249">
        <v>3030</v>
      </c>
      <c r="V249" s="8">
        <f>G249+U249</f>
        <v>0</v>
      </c>
      <c r="W249">
        <v>0</v>
      </c>
      <c r="X249">
        <v>40</v>
      </c>
      <c r="Y249">
        <v>0</v>
      </c>
      <c r="Z249">
        <v>0</v>
      </c>
      <c r="AA249">
        <v>0</v>
      </c>
      <c r="AB249">
        <v>2233943.7999999998</v>
      </c>
      <c r="AC249" s="4">
        <v>46267</v>
      </c>
      <c r="AD249" t="s">
        <v>1941</v>
      </c>
      <c r="AE249" t="s">
        <v>501</v>
      </c>
      <c r="AH249" t="s">
        <v>1627</v>
      </c>
      <c r="AI249" t="s">
        <v>1261</v>
      </c>
      <c r="AJ249" t="s">
        <v>1262</v>
      </c>
      <c r="AK249">
        <v>350050</v>
      </c>
      <c r="AL249" t="s">
        <v>1627</v>
      </c>
      <c r="AM249" t="s">
        <v>1263</v>
      </c>
      <c r="AN249" t="s">
        <v>1942</v>
      </c>
      <c r="AO249" t="s">
        <v>1943</v>
      </c>
      <c r="AP249" s="5">
        <v>46267.692361111112</v>
      </c>
      <c r="AQ249" t="s">
        <v>1266</v>
      </c>
      <c r="AR249" t="s">
        <v>1267</v>
      </c>
      <c r="AS249" t="s">
        <v>1268</v>
      </c>
      <c r="AT249" t="s">
        <v>1269</v>
      </c>
      <c r="AU249" t="s">
        <v>1270</v>
      </c>
    </row>
    <row r="250" spans="1:47" x14ac:dyDescent="0.25">
      <c r="A250" s="1" t="s">
        <v>494</v>
      </c>
      <c r="B250" s="1" t="s">
        <v>484</v>
      </c>
      <c r="C250" s="1" t="s">
        <v>484</v>
      </c>
      <c r="D250" s="1" t="s">
        <v>495</v>
      </c>
      <c r="E250" s="1" t="s">
        <v>38</v>
      </c>
      <c r="F250" s="1" t="s">
        <v>39</v>
      </c>
      <c r="G250" s="2">
        <v>-3354</v>
      </c>
      <c r="H250" s="2">
        <v>4431136.6399999997</v>
      </c>
      <c r="I250" s="1" t="s">
        <v>40</v>
      </c>
      <c r="J250" s="1" t="s">
        <v>49</v>
      </c>
      <c r="K250" s="1" t="s">
        <v>283</v>
      </c>
      <c r="L250" s="1" t="s">
        <v>39</v>
      </c>
      <c r="M250" s="1" t="s">
        <v>496</v>
      </c>
      <c r="P250">
        <v>395390</v>
      </c>
      <c r="Q250" t="s">
        <v>1609</v>
      </c>
      <c r="R250" t="s">
        <v>1257</v>
      </c>
      <c r="S250" t="s">
        <v>1258</v>
      </c>
      <c r="T250" t="s">
        <v>1259</v>
      </c>
      <c r="U250">
        <v>3354</v>
      </c>
      <c r="V250" s="8">
        <f>G250+U250</f>
        <v>0</v>
      </c>
      <c r="W250">
        <v>0</v>
      </c>
      <c r="X250">
        <v>40</v>
      </c>
      <c r="Y250">
        <v>0</v>
      </c>
      <c r="Z250">
        <v>0</v>
      </c>
      <c r="AA250">
        <v>0</v>
      </c>
      <c r="AB250">
        <v>2134640.7999999998</v>
      </c>
      <c r="AC250" s="4">
        <v>46267</v>
      </c>
      <c r="AD250" t="s">
        <v>1956</v>
      </c>
      <c r="AE250" t="s">
        <v>494</v>
      </c>
      <c r="AH250" t="s">
        <v>1614</v>
      </c>
      <c r="AI250" t="s">
        <v>1261</v>
      </c>
      <c r="AJ250" t="s">
        <v>1262</v>
      </c>
      <c r="AK250">
        <v>765244</v>
      </c>
      <c r="AL250" t="s">
        <v>1614</v>
      </c>
      <c r="AM250" t="s">
        <v>1263</v>
      </c>
      <c r="AN250" t="s">
        <v>1957</v>
      </c>
      <c r="AO250" t="s">
        <v>1958</v>
      </c>
      <c r="AP250" s="5">
        <v>46267.692361111112</v>
      </c>
      <c r="AQ250" t="s">
        <v>1266</v>
      </c>
      <c r="AR250" t="s">
        <v>1267</v>
      </c>
      <c r="AS250" t="s">
        <v>1268</v>
      </c>
      <c r="AT250" t="s">
        <v>1269</v>
      </c>
      <c r="AU250" t="s">
        <v>1270</v>
      </c>
    </row>
    <row r="251" spans="1:47" x14ac:dyDescent="0.25">
      <c r="A251" s="1" t="s">
        <v>465</v>
      </c>
      <c r="B251" s="1" t="s">
        <v>466</v>
      </c>
      <c r="C251" s="1" t="s">
        <v>466</v>
      </c>
      <c r="D251" s="1" t="s">
        <v>467</v>
      </c>
      <c r="E251" s="1" t="s">
        <v>38</v>
      </c>
      <c r="F251" s="1" t="s">
        <v>39</v>
      </c>
      <c r="G251" s="2">
        <v>-92000</v>
      </c>
      <c r="H251" s="2">
        <v>4254708.6399999997</v>
      </c>
      <c r="I251" s="1" t="s">
        <v>40</v>
      </c>
      <c r="J251" s="1" t="s">
        <v>49</v>
      </c>
      <c r="K251" s="1" t="s">
        <v>228</v>
      </c>
      <c r="L251" s="1" t="s">
        <v>39</v>
      </c>
      <c r="M251" s="1" t="s">
        <v>468</v>
      </c>
      <c r="P251">
        <v>458445</v>
      </c>
      <c r="Q251" t="s">
        <v>1332</v>
      </c>
      <c r="R251" t="s">
        <v>1257</v>
      </c>
      <c r="S251" t="s">
        <v>1258</v>
      </c>
      <c r="T251" t="s">
        <v>1259</v>
      </c>
      <c r="U251">
        <v>92000</v>
      </c>
      <c r="V251" s="8">
        <f>G251+U251</f>
        <v>0</v>
      </c>
      <c r="W251">
        <v>0</v>
      </c>
      <c r="X251">
        <v>136</v>
      </c>
      <c r="Y251">
        <v>0</v>
      </c>
      <c r="Z251">
        <v>1</v>
      </c>
      <c r="AA251">
        <v>0</v>
      </c>
      <c r="AB251">
        <v>331878.68800000002</v>
      </c>
      <c r="AC251" s="4">
        <v>46267</v>
      </c>
      <c r="AD251" t="s">
        <v>1977</v>
      </c>
      <c r="AE251" t="s">
        <v>465</v>
      </c>
      <c r="AH251" t="s">
        <v>1719</v>
      </c>
      <c r="AI251" t="s">
        <v>1261</v>
      </c>
      <c r="AJ251" t="s">
        <v>1262</v>
      </c>
      <c r="AK251">
        <v>542542</v>
      </c>
      <c r="AL251" t="s">
        <v>1719</v>
      </c>
      <c r="AM251" t="s">
        <v>1263</v>
      </c>
      <c r="AN251" t="s">
        <v>1978</v>
      </c>
      <c r="AO251">
        <v>18778</v>
      </c>
      <c r="AP251" s="5">
        <v>46267.694444444445</v>
      </c>
      <c r="AQ251" t="s">
        <v>1266</v>
      </c>
      <c r="AR251" t="s">
        <v>1267</v>
      </c>
      <c r="AS251" t="s">
        <v>1268</v>
      </c>
      <c r="AT251" t="s">
        <v>1269</v>
      </c>
      <c r="AU251" t="s">
        <v>1270</v>
      </c>
    </row>
    <row r="252" spans="1:47" x14ac:dyDescent="0.25">
      <c r="A252" s="1" t="s">
        <v>397</v>
      </c>
      <c r="B252" s="1" t="s">
        <v>398</v>
      </c>
      <c r="C252" s="1" t="s">
        <v>398</v>
      </c>
      <c r="D252" s="1" t="s">
        <v>399</v>
      </c>
      <c r="E252" s="1" t="s">
        <v>38</v>
      </c>
      <c r="F252" s="1" t="s">
        <v>39</v>
      </c>
      <c r="G252" s="2">
        <v>-3007</v>
      </c>
      <c r="H252" s="2">
        <v>4003434.64</v>
      </c>
      <c r="I252" s="1" t="s">
        <v>40</v>
      </c>
      <c r="J252" s="1" t="s">
        <v>49</v>
      </c>
      <c r="K252" s="1" t="s">
        <v>283</v>
      </c>
      <c r="L252" s="1" t="s">
        <v>39</v>
      </c>
      <c r="M252" s="1" t="s">
        <v>400</v>
      </c>
      <c r="P252">
        <v>395390</v>
      </c>
      <c r="Q252" t="s">
        <v>1609</v>
      </c>
      <c r="R252" t="s">
        <v>1257</v>
      </c>
      <c r="S252" t="s">
        <v>1258</v>
      </c>
      <c r="T252" t="s">
        <v>1259</v>
      </c>
      <c r="U252">
        <v>3007</v>
      </c>
      <c r="V252" s="8">
        <f>G252+U252</f>
        <v>0</v>
      </c>
      <c r="W252">
        <v>0</v>
      </c>
      <c r="X252">
        <v>40</v>
      </c>
      <c r="Y252">
        <v>0</v>
      </c>
      <c r="Z252">
        <v>0</v>
      </c>
      <c r="AA252">
        <v>0</v>
      </c>
      <c r="AB252">
        <v>1104911.8</v>
      </c>
      <c r="AC252" s="4">
        <v>46267</v>
      </c>
      <c r="AD252" t="s">
        <v>2037</v>
      </c>
      <c r="AE252" t="s">
        <v>397</v>
      </c>
      <c r="AH252" t="s">
        <v>1614</v>
      </c>
      <c r="AI252" t="s">
        <v>1261</v>
      </c>
      <c r="AJ252" t="s">
        <v>1262</v>
      </c>
      <c r="AK252">
        <v>765244</v>
      </c>
      <c r="AL252" t="s">
        <v>1614</v>
      </c>
      <c r="AM252" t="s">
        <v>1263</v>
      </c>
      <c r="AN252" t="s">
        <v>2038</v>
      </c>
      <c r="AO252" t="s">
        <v>2039</v>
      </c>
      <c r="AP252" s="5">
        <v>46267.705555555556</v>
      </c>
      <c r="AQ252" t="s">
        <v>1266</v>
      </c>
      <c r="AR252" t="s">
        <v>1267</v>
      </c>
      <c r="AS252" t="s">
        <v>1268</v>
      </c>
      <c r="AT252" t="s">
        <v>1269</v>
      </c>
      <c r="AU252" t="s">
        <v>1270</v>
      </c>
    </row>
    <row r="253" spans="1:47" x14ac:dyDescent="0.25">
      <c r="A253" s="1" t="s">
        <v>367</v>
      </c>
      <c r="B253" s="1" t="s">
        <v>368</v>
      </c>
      <c r="C253" s="1" t="s">
        <v>368</v>
      </c>
      <c r="D253" s="1" t="s">
        <v>369</v>
      </c>
      <c r="E253" s="1" t="s">
        <v>38</v>
      </c>
      <c r="F253" s="1" t="s">
        <v>39</v>
      </c>
      <c r="G253" s="2">
        <v>-95</v>
      </c>
      <c r="H253" s="2">
        <v>3976477.64</v>
      </c>
      <c r="I253" s="1" t="s">
        <v>40</v>
      </c>
      <c r="J253" s="1" t="s">
        <v>41</v>
      </c>
      <c r="K253" s="1" t="s">
        <v>370</v>
      </c>
      <c r="L253" s="1" t="s">
        <v>39</v>
      </c>
      <c r="M253" s="1" t="s">
        <v>39</v>
      </c>
      <c r="P253">
        <v>1440382</v>
      </c>
      <c r="Q253" t="s">
        <v>1711</v>
      </c>
      <c r="R253" t="s">
        <v>1286</v>
      </c>
      <c r="T253" t="s">
        <v>1259</v>
      </c>
      <c r="U253">
        <v>95</v>
      </c>
      <c r="V253" s="8">
        <f>G253+U253</f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1420</v>
      </c>
      <c r="AC253" s="4">
        <v>46267</v>
      </c>
      <c r="AD253" t="s">
        <v>2058</v>
      </c>
      <c r="AE253" t="s">
        <v>367</v>
      </c>
      <c r="AI253" t="s">
        <v>1261</v>
      </c>
      <c r="AJ253" t="s">
        <v>1262</v>
      </c>
      <c r="AK253">
        <v>1440382</v>
      </c>
      <c r="AM253" t="s">
        <v>1263</v>
      </c>
      <c r="AN253" t="s">
        <v>2059</v>
      </c>
      <c r="AO253" t="s">
        <v>2060</v>
      </c>
      <c r="AP253" s="5">
        <v>46267.710416666669</v>
      </c>
      <c r="AQ253" t="s">
        <v>1266</v>
      </c>
      <c r="AS253" t="s">
        <v>1268</v>
      </c>
      <c r="AT253" t="s">
        <v>1269</v>
      </c>
      <c r="AU253" t="s">
        <v>1270</v>
      </c>
    </row>
    <row r="254" spans="1:47" x14ac:dyDescent="0.25">
      <c r="A254" s="1" t="s">
        <v>357</v>
      </c>
      <c r="B254" s="1" t="s">
        <v>354</v>
      </c>
      <c r="C254" s="1" t="s">
        <v>358</v>
      </c>
      <c r="D254" s="1" t="s">
        <v>359</v>
      </c>
      <c r="E254" s="1" t="s">
        <v>38</v>
      </c>
      <c r="F254" s="1" t="s">
        <v>39</v>
      </c>
      <c r="G254" s="2">
        <v>-860</v>
      </c>
      <c r="H254" s="2">
        <v>3951876.64</v>
      </c>
      <c r="I254" s="1" t="s">
        <v>40</v>
      </c>
      <c r="J254" s="1" t="s">
        <v>49</v>
      </c>
      <c r="K254" s="1" t="s">
        <v>289</v>
      </c>
      <c r="L254" s="1" t="s">
        <v>39</v>
      </c>
      <c r="M254" s="1" t="s">
        <v>360</v>
      </c>
      <c r="P254">
        <v>395390</v>
      </c>
      <c r="Q254" t="s">
        <v>1609</v>
      </c>
      <c r="R254" t="s">
        <v>1257</v>
      </c>
      <c r="S254" t="s">
        <v>1258</v>
      </c>
      <c r="T254" t="s">
        <v>1259</v>
      </c>
      <c r="U254">
        <v>860</v>
      </c>
      <c r="V254" s="8">
        <f>G254+U254</f>
        <v>0</v>
      </c>
      <c r="W254">
        <v>0</v>
      </c>
      <c r="X254">
        <v>20</v>
      </c>
      <c r="Y254">
        <v>0</v>
      </c>
      <c r="Z254">
        <v>0</v>
      </c>
      <c r="AA254">
        <v>0</v>
      </c>
      <c r="AB254">
        <v>694522.8</v>
      </c>
      <c r="AC254" s="4">
        <v>46267</v>
      </c>
      <c r="AD254" t="s">
        <v>2068</v>
      </c>
      <c r="AE254" t="s">
        <v>357</v>
      </c>
      <c r="AH254" t="s">
        <v>1627</v>
      </c>
      <c r="AI254" t="s">
        <v>1261</v>
      </c>
      <c r="AJ254" t="s">
        <v>1262</v>
      </c>
      <c r="AK254">
        <v>350050</v>
      </c>
      <c r="AL254" t="s">
        <v>1627</v>
      </c>
      <c r="AM254" t="s">
        <v>1263</v>
      </c>
      <c r="AN254" t="s">
        <v>2069</v>
      </c>
      <c r="AO254" t="s">
        <v>2070</v>
      </c>
      <c r="AP254" s="5">
        <v>46267.715277777781</v>
      </c>
      <c r="AQ254" t="s">
        <v>1266</v>
      </c>
      <c r="AR254" t="s">
        <v>1267</v>
      </c>
      <c r="AS254" t="s">
        <v>1268</v>
      </c>
      <c r="AT254" t="s">
        <v>1269</v>
      </c>
      <c r="AU254" t="s">
        <v>1270</v>
      </c>
    </row>
    <row r="255" spans="1:47" x14ac:dyDescent="0.25">
      <c r="A255" s="1" t="s">
        <v>313</v>
      </c>
      <c r="B255" s="1" t="s">
        <v>314</v>
      </c>
      <c r="C255" s="1" t="s">
        <v>314</v>
      </c>
      <c r="D255" s="1" t="s">
        <v>315</v>
      </c>
      <c r="E255" s="1" t="s">
        <v>38</v>
      </c>
      <c r="F255" s="1" t="s">
        <v>39</v>
      </c>
      <c r="G255" s="2">
        <v>-6338</v>
      </c>
      <c r="H255" s="2">
        <v>3839234.64</v>
      </c>
      <c r="I255" s="1" t="s">
        <v>40</v>
      </c>
      <c r="J255" s="1" t="s">
        <v>49</v>
      </c>
      <c r="K255" s="1" t="s">
        <v>283</v>
      </c>
      <c r="L255" s="1" t="s">
        <v>39</v>
      </c>
      <c r="M255" s="1" t="s">
        <v>316</v>
      </c>
      <c r="P255">
        <v>395390</v>
      </c>
      <c r="Q255" t="s">
        <v>1609</v>
      </c>
      <c r="R255" t="s">
        <v>1257</v>
      </c>
      <c r="S255" t="s">
        <v>1258</v>
      </c>
      <c r="T255" t="s">
        <v>1259</v>
      </c>
      <c r="U255">
        <v>6338</v>
      </c>
      <c r="V255" s="8">
        <f>G255+U255</f>
        <v>0</v>
      </c>
      <c r="W255">
        <v>0</v>
      </c>
      <c r="X255">
        <v>57</v>
      </c>
      <c r="Y255">
        <v>0</v>
      </c>
      <c r="Z255">
        <v>0</v>
      </c>
      <c r="AA255">
        <v>0</v>
      </c>
      <c r="AB255">
        <v>169982.8</v>
      </c>
      <c r="AC255" s="4">
        <v>46267</v>
      </c>
      <c r="AD255" t="s">
        <v>2120</v>
      </c>
      <c r="AE255" t="s">
        <v>313</v>
      </c>
      <c r="AH255" t="s">
        <v>1614</v>
      </c>
      <c r="AI255" t="s">
        <v>1261</v>
      </c>
      <c r="AJ255" t="s">
        <v>1262</v>
      </c>
      <c r="AK255">
        <v>765244</v>
      </c>
      <c r="AL255" t="s">
        <v>1614</v>
      </c>
      <c r="AM255" t="s">
        <v>1263</v>
      </c>
      <c r="AN255" t="s">
        <v>2121</v>
      </c>
      <c r="AO255" t="s">
        <v>2122</v>
      </c>
      <c r="AP255" s="5">
        <v>46267.715277777781</v>
      </c>
      <c r="AQ255" t="s">
        <v>1266</v>
      </c>
      <c r="AR255" t="s">
        <v>1267</v>
      </c>
      <c r="AS255" t="s">
        <v>1268</v>
      </c>
      <c r="AT255" t="s">
        <v>1269</v>
      </c>
      <c r="AU255" t="s">
        <v>1270</v>
      </c>
    </row>
    <row r="256" spans="1:47" x14ac:dyDescent="0.25">
      <c r="A256" s="1" t="s">
        <v>297</v>
      </c>
      <c r="B256" s="1" t="s">
        <v>298</v>
      </c>
      <c r="C256" s="1" t="s">
        <v>298</v>
      </c>
      <c r="D256" s="1" t="s">
        <v>299</v>
      </c>
      <c r="E256" s="1" t="s">
        <v>38</v>
      </c>
      <c r="F256" s="1" t="s">
        <v>39</v>
      </c>
      <c r="G256" s="2">
        <v>-594</v>
      </c>
      <c r="H256" s="2">
        <v>3826958.64</v>
      </c>
      <c r="I256" s="1" t="s">
        <v>40</v>
      </c>
      <c r="J256" s="1" t="s">
        <v>49</v>
      </c>
      <c r="K256" s="1" t="s">
        <v>283</v>
      </c>
      <c r="L256" s="1" t="s">
        <v>39</v>
      </c>
      <c r="M256" s="1" t="s">
        <v>300</v>
      </c>
      <c r="P256">
        <v>395390</v>
      </c>
      <c r="Q256" t="s">
        <v>1609</v>
      </c>
      <c r="R256" t="s">
        <v>1257</v>
      </c>
      <c r="S256" t="s">
        <v>1258</v>
      </c>
      <c r="T256" t="s">
        <v>1259</v>
      </c>
      <c r="U256">
        <v>594</v>
      </c>
      <c r="V256" s="8">
        <f>G256+U256</f>
        <v>0</v>
      </c>
      <c r="W256">
        <v>0</v>
      </c>
      <c r="X256">
        <v>20</v>
      </c>
      <c r="Y256">
        <v>0</v>
      </c>
      <c r="Z256">
        <v>0</v>
      </c>
      <c r="AA256">
        <v>0</v>
      </c>
      <c r="AB256">
        <v>81851.8</v>
      </c>
      <c r="AC256" s="4">
        <v>46267</v>
      </c>
      <c r="AD256" t="s">
        <v>2126</v>
      </c>
      <c r="AE256" t="s">
        <v>297</v>
      </c>
      <c r="AH256" t="s">
        <v>1614</v>
      </c>
      <c r="AI256" t="s">
        <v>1261</v>
      </c>
      <c r="AJ256" t="s">
        <v>1262</v>
      </c>
      <c r="AK256">
        <v>765244</v>
      </c>
      <c r="AL256" t="s">
        <v>1614</v>
      </c>
      <c r="AM256" t="s">
        <v>1263</v>
      </c>
      <c r="AN256" t="s">
        <v>2127</v>
      </c>
      <c r="AO256" t="s">
        <v>2128</v>
      </c>
      <c r="AP256" s="5">
        <v>46267.71597222222</v>
      </c>
      <c r="AQ256" t="s">
        <v>1266</v>
      </c>
      <c r="AR256" t="s">
        <v>1267</v>
      </c>
      <c r="AS256" t="s">
        <v>1268</v>
      </c>
      <c r="AT256" t="s">
        <v>1269</v>
      </c>
      <c r="AU256" t="s">
        <v>1270</v>
      </c>
    </row>
    <row r="257" spans="1:47" x14ac:dyDescent="0.25">
      <c r="A257" s="1" t="s">
        <v>281</v>
      </c>
      <c r="B257" s="1" t="s">
        <v>277</v>
      </c>
      <c r="C257" s="1" t="s">
        <v>277</v>
      </c>
      <c r="D257" s="1" t="s">
        <v>282</v>
      </c>
      <c r="E257" s="1" t="s">
        <v>38</v>
      </c>
      <c r="F257" s="1" t="s">
        <v>39</v>
      </c>
      <c r="G257" s="2">
        <v>-2638</v>
      </c>
      <c r="H257" s="2">
        <v>3805187.64</v>
      </c>
      <c r="I257" s="1" t="s">
        <v>40</v>
      </c>
      <c r="J257" s="1" t="s">
        <v>49</v>
      </c>
      <c r="K257" s="1" t="s">
        <v>283</v>
      </c>
      <c r="L257" s="1" t="s">
        <v>39</v>
      </c>
      <c r="M257" s="1" t="s">
        <v>284</v>
      </c>
      <c r="P257">
        <v>395390</v>
      </c>
      <c r="Q257" t="s">
        <v>1609</v>
      </c>
      <c r="R257" t="s">
        <v>1257</v>
      </c>
      <c r="S257" t="s">
        <v>1258</v>
      </c>
      <c r="T257" t="s">
        <v>1259</v>
      </c>
      <c r="U257">
        <v>2638</v>
      </c>
      <c r="V257" s="8">
        <f>G257+U257</f>
        <v>0</v>
      </c>
      <c r="W257">
        <v>0</v>
      </c>
      <c r="X257">
        <v>40</v>
      </c>
      <c r="Y257">
        <v>0</v>
      </c>
      <c r="Z257">
        <v>0</v>
      </c>
      <c r="AA257">
        <v>0</v>
      </c>
      <c r="AB257">
        <v>33767.800000000003</v>
      </c>
      <c r="AC257" s="4">
        <v>46267</v>
      </c>
      <c r="AD257" t="s">
        <v>2132</v>
      </c>
      <c r="AE257" t="s">
        <v>281</v>
      </c>
      <c r="AH257" t="s">
        <v>1614</v>
      </c>
      <c r="AI257" t="s">
        <v>1261</v>
      </c>
      <c r="AJ257" t="s">
        <v>1262</v>
      </c>
      <c r="AK257">
        <v>765244</v>
      </c>
      <c r="AL257" t="s">
        <v>1614</v>
      </c>
      <c r="AM257" t="s">
        <v>1263</v>
      </c>
      <c r="AN257" t="s">
        <v>2133</v>
      </c>
      <c r="AO257" t="s">
        <v>2134</v>
      </c>
      <c r="AP257" s="5">
        <v>46267.71597222222</v>
      </c>
      <c r="AQ257" t="s">
        <v>1266</v>
      </c>
      <c r="AR257" t="s">
        <v>1267</v>
      </c>
      <c r="AS257" t="s">
        <v>1268</v>
      </c>
      <c r="AT257" t="s">
        <v>1269</v>
      </c>
      <c r="AU257" t="s">
        <v>1270</v>
      </c>
    </row>
    <row r="258" spans="1:47" x14ac:dyDescent="0.25">
      <c r="A258" s="1" t="s">
        <v>275</v>
      </c>
      <c r="B258" s="1" t="s">
        <v>276</v>
      </c>
      <c r="C258" s="1" t="s">
        <v>277</v>
      </c>
      <c r="D258" s="1" t="s">
        <v>278</v>
      </c>
      <c r="E258" s="1" t="s">
        <v>38</v>
      </c>
      <c r="F258" s="1" t="s">
        <v>39</v>
      </c>
      <c r="G258" s="2">
        <v>-594</v>
      </c>
      <c r="H258" s="2">
        <v>3804550.64</v>
      </c>
      <c r="I258" s="1" t="s">
        <v>40</v>
      </c>
      <c r="J258" s="1" t="s">
        <v>49</v>
      </c>
      <c r="K258" s="1" t="s">
        <v>279</v>
      </c>
      <c r="L258" s="1" t="s">
        <v>39</v>
      </c>
      <c r="M258" s="1" t="s">
        <v>280</v>
      </c>
      <c r="P258">
        <v>395390</v>
      </c>
      <c r="Q258" t="s">
        <v>1609</v>
      </c>
      <c r="R258" t="s">
        <v>1257</v>
      </c>
      <c r="S258" t="s">
        <v>1258</v>
      </c>
      <c r="T258" t="s">
        <v>1259</v>
      </c>
      <c r="U258">
        <v>594</v>
      </c>
      <c r="V258" s="8">
        <f>G258+U258</f>
        <v>0</v>
      </c>
      <c r="W258">
        <v>0</v>
      </c>
      <c r="X258">
        <v>20</v>
      </c>
      <c r="Y258">
        <v>0</v>
      </c>
      <c r="Z258">
        <v>0</v>
      </c>
      <c r="AA258">
        <v>0</v>
      </c>
      <c r="AB258">
        <v>5044.8</v>
      </c>
      <c r="AC258" s="4">
        <v>46267</v>
      </c>
      <c r="AD258" t="s">
        <v>2135</v>
      </c>
      <c r="AE258" t="s">
        <v>275</v>
      </c>
      <c r="AH258" t="s">
        <v>1564</v>
      </c>
      <c r="AI258" t="s">
        <v>1261</v>
      </c>
      <c r="AJ258" t="s">
        <v>1262</v>
      </c>
      <c r="AK258">
        <v>852648</v>
      </c>
      <c r="AL258" t="s">
        <v>1564</v>
      </c>
      <c r="AM258" t="s">
        <v>1263</v>
      </c>
      <c r="AN258" t="s">
        <v>2136</v>
      </c>
      <c r="AO258" t="s">
        <v>2137</v>
      </c>
      <c r="AP258" s="5">
        <v>46267.71597222222</v>
      </c>
      <c r="AQ258" t="s">
        <v>1266</v>
      </c>
      <c r="AR258" t="s">
        <v>1267</v>
      </c>
      <c r="AS258" t="s">
        <v>1268</v>
      </c>
      <c r="AT258" t="s">
        <v>1269</v>
      </c>
      <c r="AU258" t="s">
        <v>1270</v>
      </c>
    </row>
    <row r="259" spans="1:47" x14ac:dyDescent="0.25">
      <c r="A259" s="1" t="s">
        <v>258</v>
      </c>
      <c r="B259" s="1" t="s">
        <v>259</v>
      </c>
      <c r="C259" s="1" t="s">
        <v>259</v>
      </c>
      <c r="D259" s="1" t="s">
        <v>260</v>
      </c>
      <c r="E259" s="1" t="s">
        <v>38</v>
      </c>
      <c r="F259" s="1" t="s">
        <v>39</v>
      </c>
      <c r="G259" s="2">
        <v>-16398</v>
      </c>
      <c r="H259" s="2">
        <v>3766511.64</v>
      </c>
      <c r="I259" s="1" t="s">
        <v>40</v>
      </c>
      <c r="J259" s="1" t="s">
        <v>49</v>
      </c>
      <c r="K259" s="1" t="s">
        <v>261</v>
      </c>
      <c r="L259" s="1" t="s">
        <v>39</v>
      </c>
      <c r="M259" s="1" t="s">
        <v>262</v>
      </c>
      <c r="P259">
        <v>458445</v>
      </c>
      <c r="Q259" t="s">
        <v>1332</v>
      </c>
      <c r="R259" t="s">
        <v>1257</v>
      </c>
      <c r="S259" t="s">
        <v>1258</v>
      </c>
      <c r="T259" t="s">
        <v>1259</v>
      </c>
      <c r="U259">
        <v>16398</v>
      </c>
      <c r="V259" s="8">
        <f>G259+U259</f>
        <v>0</v>
      </c>
      <c r="W259">
        <v>0</v>
      </c>
      <c r="X259">
        <v>82</v>
      </c>
      <c r="Y259">
        <v>0</v>
      </c>
      <c r="Z259">
        <v>1</v>
      </c>
      <c r="AA259">
        <v>0</v>
      </c>
      <c r="AB259">
        <v>257931.68799999999</v>
      </c>
      <c r="AC259" s="4">
        <v>46267</v>
      </c>
      <c r="AD259" t="s">
        <v>2152</v>
      </c>
      <c r="AE259" t="s">
        <v>258</v>
      </c>
      <c r="AH259" t="s">
        <v>1588</v>
      </c>
      <c r="AI259" t="s">
        <v>1261</v>
      </c>
      <c r="AJ259" t="s">
        <v>1262</v>
      </c>
      <c r="AK259">
        <v>600100</v>
      </c>
      <c r="AL259" t="s">
        <v>1588</v>
      </c>
      <c r="AM259" t="s">
        <v>1263</v>
      </c>
      <c r="AN259" t="s">
        <v>2153</v>
      </c>
      <c r="AO259" s="6" t="s">
        <v>262</v>
      </c>
      <c r="AP259" s="5">
        <v>46267.729861111111</v>
      </c>
      <c r="AQ259" t="s">
        <v>1266</v>
      </c>
      <c r="AS259" t="s">
        <v>1268</v>
      </c>
      <c r="AT259" t="s">
        <v>1269</v>
      </c>
      <c r="AU259" t="s">
        <v>1270</v>
      </c>
    </row>
    <row r="260" spans="1:47" x14ac:dyDescent="0.25">
      <c r="A260" s="1" t="s">
        <v>213</v>
      </c>
      <c r="B260" s="1" t="s">
        <v>214</v>
      </c>
      <c r="C260" s="1" t="s">
        <v>215</v>
      </c>
      <c r="D260" s="1" t="s">
        <v>94</v>
      </c>
      <c r="E260" s="1" t="s">
        <v>38</v>
      </c>
      <c r="F260" s="1" t="s">
        <v>39</v>
      </c>
      <c r="G260" s="2">
        <v>-750</v>
      </c>
      <c r="H260" s="2">
        <v>3589704.64</v>
      </c>
      <c r="I260" s="1" t="s">
        <v>40</v>
      </c>
      <c r="J260" s="1" t="s">
        <v>49</v>
      </c>
      <c r="K260" s="1" t="s">
        <v>95</v>
      </c>
      <c r="L260" s="1" t="s">
        <v>39</v>
      </c>
      <c r="M260" s="1" t="s">
        <v>96</v>
      </c>
      <c r="P260">
        <v>318827</v>
      </c>
      <c r="Q260" t="s">
        <v>2176</v>
      </c>
      <c r="R260" t="s">
        <v>1257</v>
      </c>
      <c r="S260" t="s">
        <v>1258</v>
      </c>
      <c r="T260" t="s">
        <v>1259</v>
      </c>
      <c r="U260">
        <v>750</v>
      </c>
      <c r="V260" s="8">
        <f>G260+U260</f>
        <v>0</v>
      </c>
      <c r="W260">
        <v>0</v>
      </c>
      <c r="X260">
        <v>20</v>
      </c>
      <c r="Y260">
        <v>0</v>
      </c>
      <c r="Z260">
        <v>1</v>
      </c>
      <c r="AA260">
        <v>0</v>
      </c>
      <c r="AB260">
        <v>7249.8360000000002</v>
      </c>
      <c r="AC260" s="4">
        <v>46267</v>
      </c>
      <c r="AD260" t="s">
        <v>2183</v>
      </c>
      <c r="AE260" t="s">
        <v>213</v>
      </c>
      <c r="AH260" t="s">
        <v>1407</v>
      </c>
      <c r="AI260" t="s">
        <v>1261</v>
      </c>
      <c r="AJ260" t="s">
        <v>1262</v>
      </c>
      <c r="AK260">
        <v>400222</v>
      </c>
      <c r="AL260" t="s">
        <v>1407</v>
      </c>
      <c r="AM260" t="s">
        <v>1263</v>
      </c>
      <c r="AN260" t="s">
        <v>2184</v>
      </c>
      <c r="AO260" t="s">
        <v>2185</v>
      </c>
      <c r="AP260" s="5">
        <v>46267.785416666666</v>
      </c>
      <c r="AQ260" t="s">
        <v>1266</v>
      </c>
      <c r="AR260" t="s">
        <v>1267</v>
      </c>
      <c r="AS260" t="s">
        <v>1268</v>
      </c>
      <c r="AT260" t="s">
        <v>1269</v>
      </c>
      <c r="AU260" t="s">
        <v>1270</v>
      </c>
    </row>
    <row r="261" spans="1:47" x14ac:dyDescent="0.25">
      <c r="A261" s="1" t="s">
        <v>247</v>
      </c>
      <c r="B261" s="1" t="s">
        <v>248</v>
      </c>
      <c r="C261" s="1" t="s">
        <v>248</v>
      </c>
      <c r="D261" s="1" t="s">
        <v>227</v>
      </c>
      <c r="E261" s="1" t="s">
        <v>38</v>
      </c>
      <c r="F261" s="1" t="s">
        <v>39</v>
      </c>
      <c r="G261" s="2">
        <v>-24000</v>
      </c>
      <c r="H261" s="2">
        <v>3736013.64</v>
      </c>
      <c r="I261" s="1" t="s">
        <v>40</v>
      </c>
      <c r="J261" s="1" t="s">
        <v>49</v>
      </c>
      <c r="K261" s="1" t="s">
        <v>228</v>
      </c>
      <c r="L261" s="1" t="s">
        <v>39</v>
      </c>
      <c r="M261" s="1" t="s">
        <v>229</v>
      </c>
      <c r="P261">
        <v>458445</v>
      </c>
      <c r="Q261" t="s">
        <v>1332</v>
      </c>
      <c r="R261" t="s">
        <v>1257</v>
      </c>
      <c r="S261" t="s">
        <v>1258</v>
      </c>
      <c r="T261" t="s">
        <v>1259</v>
      </c>
      <c r="U261">
        <v>24000</v>
      </c>
      <c r="V261" s="8">
        <f>G261+U261</f>
        <v>0</v>
      </c>
      <c r="W261">
        <v>0</v>
      </c>
      <c r="X261">
        <v>87</v>
      </c>
      <c r="Y261">
        <v>0</v>
      </c>
      <c r="Z261">
        <v>1</v>
      </c>
      <c r="AA261">
        <v>0</v>
      </c>
      <c r="AB261">
        <v>52700.688000000002</v>
      </c>
      <c r="AC261" s="4">
        <v>46267</v>
      </c>
      <c r="AD261" t="s">
        <v>2160</v>
      </c>
      <c r="AE261" t="s">
        <v>247</v>
      </c>
      <c r="AH261" t="s">
        <v>1719</v>
      </c>
      <c r="AI261" t="s">
        <v>1261</v>
      </c>
      <c r="AJ261" t="s">
        <v>1262</v>
      </c>
      <c r="AK261">
        <v>542542</v>
      </c>
      <c r="AL261" t="s">
        <v>1719</v>
      </c>
      <c r="AM261" t="s">
        <v>1263</v>
      </c>
      <c r="AN261" t="s">
        <v>2161</v>
      </c>
      <c r="AO261">
        <v>18784</v>
      </c>
      <c r="AP261" s="5">
        <v>46267.738888888889</v>
      </c>
      <c r="AQ261" t="s">
        <v>1266</v>
      </c>
      <c r="AR261" t="s">
        <v>1267</v>
      </c>
      <c r="AS261" t="s">
        <v>1268</v>
      </c>
      <c r="AT261" t="s">
        <v>1269</v>
      </c>
      <c r="AU261" t="s">
        <v>1270</v>
      </c>
    </row>
    <row r="262" spans="1:47" x14ac:dyDescent="0.25">
      <c r="A262" s="1" t="s">
        <v>245</v>
      </c>
      <c r="B262" s="1" t="s">
        <v>246</v>
      </c>
      <c r="C262" s="1" t="s">
        <v>246</v>
      </c>
      <c r="D262" s="1" t="s">
        <v>227</v>
      </c>
      <c r="E262" s="1" t="s">
        <v>38</v>
      </c>
      <c r="F262" s="1" t="s">
        <v>39</v>
      </c>
      <c r="G262" s="2">
        <v>-500</v>
      </c>
      <c r="H262" s="2">
        <v>3735439.64</v>
      </c>
      <c r="I262" s="1" t="s">
        <v>40</v>
      </c>
      <c r="J262" s="1" t="s">
        <v>49</v>
      </c>
      <c r="K262" s="1" t="s">
        <v>228</v>
      </c>
      <c r="L262" s="1" t="s">
        <v>39</v>
      </c>
      <c r="M262" s="1" t="s">
        <v>229</v>
      </c>
      <c r="P262">
        <v>458445</v>
      </c>
      <c r="Q262" t="s">
        <v>1332</v>
      </c>
      <c r="R262" t="s">
        <v>1257</v>
      </c>
      <c r="S262" t="s">
        <v>1258</v>
      </c>
      <c r="T262" t="s">
        <v>1259</v>
      </c>
      <c r="U262">
        <v>500</v>
      </c>
      <c r="V262" s="8">
        <f>G262+U262</f>
        <v>0</v>
      </c>
      <c r="W262">
        <v>0</v>
      </c>
      <c r="X262">
        <v>10</v>
      </c>
      <c r="Y262">
        <v>0</v>
      </c>
      <c r="Z262">
        <v>1</v>
      </c>
      <c r="AA262">
        <v>0</v>
      </c>
      <c r="AB262">
        <v>52189.688000000002</v>
      </c>
      <c r="AC262" s="4">
        <v>46267</v>
      </c>
      <c r="AD262" t="s">
        <v>2162</v>
      </c>
      <c r="AE262" t="s">
        <v>245</v>
      </c>
      <c r="AH262" t="s">
        <v>1719</v>
      </c>
      <c r="AI262" t="s">
        <v>1261</v>
      </c>
      <c r="AJ262" t="s">
        <v>1262</v>
      </c>
      <c r="AK262">
        <v>542542</v>
      </c>
      <c r="AL262" t="s">
        <v>1719</v>
      </c>
      <c r="AM262" t="s">
        <v>1263</v>
      </c>
      <c r="AN262" t="s">
        <v>2163</v>
      </c>
      <c r="AO262">
        <v>18785</v>
      </c>
      <c r="AP262" s="5">
        <v>46267.738888888889</v>
      </c>
      <c r="AQ262" t="s">
        <v>1266</v>
      </c>
      <c r="AR262" t="s">
        <v>1267</v>
      </c>
      <c r="AS262" t="s">
        <v>1268</v>
      </c>
      <c r="AT262" t="s">
        <v>1269</v>
      </c>
      <c r="AU262" t="s">
        <v>1270</v>
      </c>
    </row>
    <row r="263" spans="1:47" x14ac:dyDescent="0.25">
      <c r="A263" s="1" t="s">
        <v>230</v>
      </c>
      <c r="B263" s="1" t="s">
        <v>231</v>
      </c>
      <c r="C263" s="1" t="s">
        <v>231</v>
      </c>
      <c r="D263" s="1" t="s">
        <v>227</v>
      </c>
      <c r="E263" s="1" t="s">
        <v>38</v>
      </c>
      <c r="F263" s="1" t="s">
        <v>39</v>
      </c>
      <c r="G263" s="2">
        <v>-42000</v>
      </c>
      <c r="H263" s="2">
        <v>3670663.64</v>
      </c>
      <c r="I263" s="1" t="s">
        <v>40</v>
      </c>
      <c r="J263" s="1" t="s">
        <v>49</v>
      </c>
      <c r="K263" s="1" t="s">
        <v>228</v>
      </c>
      <c r="L263" s="1" t="s">
        <v>39</v>
      </c>
      <c r="M263" s="1" t="s">
        <v>229</v>
      </c>
      <c r="P263">
        <v>458445</v>
      </c>
      <c r="Q263" t="s">
        <v>1332</v>
      </c>
      <c r="R263" t="s">
        <v>1257</v>
      </c>
      <c r="S263" t="s">
        <v>1258</v>
      </c>
      <c r="T263" t="s">
        <v>1259</v>
      </c>
      <c r="U263">
        <v>42000</v>
      </c>
      <c r="V263" s="8">
        <f>G263+U263</f>
        <v>0</v>
      </c>
      <c r="W263">
        <v>0</v>
      </c>
      <c r="X263">
        <v>130</v>
      </c>
      <c r="Y263">
        <v>0</v>
      </c>
      <c r="Z263">
        <v>1</v>
      </c>
      <c r="AA263">
        <v>0</v>
      </c>
      <c r="AB263">
        <v>451397.69</v>
      </c>
      <c r="AC263" s="4">
        <v>46267</v>
      </c>
      <c r="AD263" t="s">
        <v>2172</v>
      </c>
      <c r="AE263" t="s">
        <v>230</v>
      </c>
      <c r="AH263" t="s">
        <v>1719</v>
      </c>
      <c r="AI263" t="s">
        <v>1261</v>
      </c>
      <c r="AJ263" t="s">
        <v>1262</v>
      </c>
      <c r="AK263">
        <v>542542</v>
      </c>
      <c r="AL263" t="s">
        <v>1719</v>
      </c>
      <c r="AM263" t="s">
        <v>1263</v>
      </c>
      <c r="AN263" t="s">
        <v>2173</v>
      </c>
      <c r="AO263">
        <v>18789</v>
      </c>
      <c r="AP263" s="5">
        <v>46267.78125</v>
      </c>
      <c r="AQ263" t="s">
        <v>1266</v>
      </c>
      <c r="AR263" t="s">
        <v>1267</v>
      </c>
      <c r="AS263" t="s">
        <v>1268</v>
      </c>
      <c r="AT263" t="s">
        <v>1269</v>
      </c>
      <c r="AU263" t="s">
        <v>1270</v>
      </c>
    </row>
    <row r="264" spans="1:47" x14ac:dyDescent="0.25">
      <c r="A264" s="1" t="s">
        <v>225</v>
      </c>
      <c r="B264" s="1" t="s">
        <v>226</v>
      </c>
      <c r="C264" s="1" t="s">
        <v>226</v>
      </c>
      <c r="D264" s="1" t="s">
        <v>227</v>
      </c>
      <c r="E264" s="1" t="s">
        <v>38</v>
      </c>
      <c r="F264" s="1" t="s">
        <v>39</v>
      </c>
      <c r="G264" s="2">
        <v>-500</v>
      </c>
      <c r="H264" s="2">
        <v>3670053.64</v>
      </c>
      <c r="I264" s="1" t="s">
        <v>40</v>
      </c>
      <c r="J264" s="1" t="s">
        <v>49</v>
      </c>
      <c r="K264" s="1" t="s">
        <v>228</v>
      </c>
      <c r="L264" s="1" t="s">
        <v>39</v>
      </c>
      <c r="M264" s="1" t="s">
        <v>229</v>
      </c>
      <c r="P264">
        <v>458445</v>
      </c>
      <c r="Q264" t="s">
        <v>1332</v>
      </c>
      <c r="R264" t="s">
        <v>1257</v>
      </c>
      <c r="S264" t="s">
        <v>1258</v>
      </c>
      <c r="T264" t="s">
        <v>1259</v>
      </c>
      <c r="U264">
        <v>500</v>
      </c>
      <c r="V264" s="8">
        <f>G264+U264</f>
        <v>0</v>
      </c>
      <c r="W264">
        <v>0</v>
      </c>
      <c r="X264">
        <v>10</v>
      </c>
      <c r="Y264">
        <v>0</v>
      </c>
      <c r="Z264">
        <v>1</v>
      </c>
      <c r="AA264">
        <v>0</v>
      </c>
      <c r="AB264">
        <v>450886.69</v>
      </c>
      <c r="AC264" s="4">
        <v>46267</v>
      </c>
      <c r="AD264" t="s">
        <v>2174</v>
      </c>
      <c r="AE264" t="s">
        <v>225</v>
      </c>
      <c r="AH264" t="s">
        <v>1719</v>
      </c>
      <c r="AI264" t="s">
        <v>1261</v>
      </c>
      <c r="AJ264" t="s">
        <v>1262</v>
      </c>
      <c r="AK264">
        <v>542542</v>
      </c>
      <c r="AL264" t="s">
        <v>1719</v>
      </c>
      <c r="AM264" t="s">
        <v>1263</v>
      </c>
      <c r="AN264" t="s">
        <v>2175</v>
      </c>
      <c r="AO264">
        <v>18790</v>
      </c>
      <c r="AP264" s="5">
        <v>46267.78125</v>
      </c>
      <c r="AQ264" t="s">
        <v>1266</v>
      </c>
      <c r="AR264" t="s">
        <v>1267</v>
      </c>
      <c r="AS264" t="s">
        <v>1268</v>
      </c>
      <c r="AT264" t="s">
        <v>1269</v>
      </c>
      <c r="AU264" t="s">
        <v>1270</v>
      </c>
    </row>
    <row r="265" spans="1:47" x14ac:dyDescent="0.25">
      <c r="A265" s="1" t="s">
        <v>211</v>
      </c>
      <c r="B265" s="1" t="s">
        <v>212</v>
      </c>
      <c r="C265" s="1" t="s">
        <v>212</v>
      </c>
      <c r="D265" s="1" t="s">
        <v>209</v>
      </c>
      <c r="E265" s="1" t="s">
        <v>38</v>
      </c>
      <c r="F265" s="1" t="s">
        <v>39</v>
      </c>
      <c r="G265" s="2">
        <v>-50</v>
      </c>
      <c r="H265" s="2">
        <v>3589654.64</v>
      </c>
      <c r="I265" s="1" t="s">
        <v>40</v>
      </c>
      <c r="J265" s="1" t="s">
        <v>41</v>
      </c>
      <c r="K265" s="1" t="s">
        <v>210</v>
      </c>
      <c r="L265" s="1" t="s">
        <v>39</v>
      </c>
      <c r="M265" s="1" t="s">
        <v>39</v>
      </c>
      <c r="O265">
        <v>756756</v>
      </c>
      <c r="P265">
        <v>254797413147</v>
      </c>
      <c r="Q265" t="s">
        <v>1294</v>
      </c>
      <c r="R265" t="s">
        <v>1286</v>
      </c>
      <c r="T265" t="s">
        <v>1259</v>
      </c>
      <c r="U265">
        <v>50</v>
      </c>
      <c r="V265" s="8">
        <f>G265+U265</f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301</v>
      </c>
      <c r="AC265" s="4">
        <v>46267</v>
      </c>
      <c r="AD265" t="s">
        <v>2193</v>
      </c>
      <c r="AE265" t="s">
        <v>211</v>
      </c>
      <c r="AI265" t="s">
        <v>1261</v>
      </c>
      <c r="AJ265" t="s">
        <v>1262</v>
      </c>
      <c r="AK265">
        <v>6721699</v>
      </c>
      <c r="AM265" t="s">
        <v>1263</v>
      </c>
      <c r="AN265" t="s">
        <v>2194</v>
      </c>
      <c r="AO265" t="s">
        <v>2194</v>
      </c>
      <c r="AP265" s="5">
        <v>46267.804861111108</v>
      </c>
      <c r="AQ265" t="s">
        <v>1266</v>
      </c>
      <c r="AR265" t="s">
        <v>1293</v>
      </c>
      <c r="AS265" t="s">
        <v>1268</v>
      </c>
      <c r="AT265" t="s">
        <v>1269</v>
      </c>
      <c r="AU265" t="s">
        <v>1270</v>
      </c>
    </row>
    <row r="266" spans="1:47" x14ac:dyDescent="0.25">
      <c r="A266" s="1" t="s">
        <v>207</v>
      </c>
      <c r="B266" s="1" t="s">
        <v>208</v>
      </c>
      <c r="C266" s="1" t="s">
        <v>208</v>
      </c>
      <c r="D266" s="1" t="s">
        <v>209</v>
      </c>
      <c r="E266" s="1" t="s">
        <v>38</v>
      </c>
      <c r="F266" s="1" t="s">
        <v>39</v>
      </c>
      <c r="G266" s="2">
        <v>-100</v>
      </c>
      <c r="H266" s="2">
        <v>3589551.64</v>
      </c>
      <c r="I266" s="1" t="s">
        <v>40</v>
      </c>
      <c r="J266" s="1" t="s">
        <v>41</v>
      </c>
      <c r="K266" s="1" t="s">
        <v>210</v>
      </c>
      <c r="L266" s="1" t="s">
        <v>39</v>
      </c>
      <c r="M266" s="1" t="s">
        <v>39</v>
      </c>
      <c r="O266">
        <v>756756</v>
      </c>
      <c r="P266">
        <v>254797413147</v>
      </c>
      <c r="Q266" t="s">
        <v>1294</v>
      </c>
      <c r="R266" t="s">
        <v>1286</v>
      </c>
      <c r="T266" t="s">
        <v>1259</v>
      </c>
      <c r="U266">
        <v>100</v>
      </c>
      <c r="V266" s="8">
        <f>G266+U266</f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201</v>
      </c>
      <c r="AC266" s="4">
        <v>46267</v>
      </c>
      <c r="AD266" t="s">
        <v>2195</v>
      </c>
      <c r="AE266" t="s">
        <v>207</v>
      </c>
      <c r="AI266" t="s">
        <v>1261</v>
      </c>
      <c r="AJ266" t="s">
        <v>1262</v>
      </c>
      <c r="AK266">
        <v>6721699</v>
      </c>
      <c r="AM266" t="s">
        <v>1263</v>
      </c>
      <c r="AN266" t="s">
        <v>2196</v>
      </c>
      <c r="AO266" t="s">
        <v>2196</v>
      </c>
      <c r="AP266" s="5">
        <v>46267.808333333334</v>
      </c>
      <c r="AQ266" t="s">
        <v>1266</v>
      </c>
      <c r="AR266" t="s">
        <v>1293</v>
      </c>
      <c r="AS266" t="s">
        <v>1268</v>
      </c>
      <c r="AT266" t="s">
        <v>1269</v>
      </c>
      <c r="AU266" t="s">
        <v>1270</v>
      </c>
    </row>
    <row r="267" spans="1:47" x14ac:dyDescent="0.25">
      <c r="A267" s="1" t="s">
        <v>168</v>
      </c>
      <c r="B267" s="1" t="s">
        <v>169</v>
      </c>
      <c r="C267" s="1" t="s">
        <v>169</v>
      </c>
      <c r="D267" s="1" t="s">
        <v>170</v>
      </c>
      <c r="E267" s="1" t="s">
        <v>38</v>
      </c>
      <c r="F267" s="1" t="s">
        <v>39</v>
      </c>
      <c r="G267" s="2">
        <v>-6300</v>
      </c>
      <c r="H267" s="2">
        <v>3532353.64</v>
      </c>
      <c r="I267" s="1" t="s">
        <v>40</v>
      </c>
      <c r="J267" s="1" t="s">
        <v>41</v>
      </c>
      <c r="K267" s="1" t="s">
        <v>104</v>
      </c>
      <c r="L267" s="1" t="s">
        <v>39</v>
      </c>
      <c r="M267" s="1" t="s">
        <v>39</v>
      </c>
      <c r="P267">
        <v>77480</v>
      </c>
      <c r="Q267" t="s">
        <v>1279</v>
      </c>
      <c r="R267" t="s">
        <v>1272</v>
      </c>
      <c r="S267" t="s">
        <v>1258</v>
      </c>
      <c r="T267" t="s">
        <v>1259</v>
      </c>
      <c r="U267">
        <v>6300</v>
      </c>
      <c r="V267" s="8">
        <f>G267+U267</f>
        <v>0</v>
      </c>
      <c r="W267">
        <v>0</v>
      </c>
      <c r="X267">
        <v>15</v>
      </c>
      <c r="Y267">
        <v>0</v>
      </c>
      <c r="Z267">
        <v>1</v>
      </c>
      <c r="AA267">
        <v>0</v>
      </c>
      <c r="AB267">
        <v>33.299999999999997</v>
      </c>
      <c r="AC267" s="4">
        <v>46267</v>
      </c>
      <c r="AD267" t="s">
        <v>2234</v>
      </c>
      <c r="AE267" t="s">
        <v>168</v>
      </c>
      <c r="AI267" t="s">
        <v>1261</v>
      </c>
      <c r="AJ267" t="s">
        <v>1262</v>
      </c>
      <c r="AK267">
        <v>821697</v>
      </c>
      <c r="AM267" t="s">
        <v>1263</v>
      </c>
      <c r="AN267" t="s">
        <v>2235</v>
      </c>
      <c r="AO267" t="s">
        <v>1275</v>
      </c>
      <c r="AP267" s="5">
        <v>46267.847222222219</v>
      </c>
      <c r="AQ267" t="s">
        <v>1266</v>
      </c>
      <c r="AS267" t="s">
        <v>1268</v>
      </c>
      <c r="AT267" t="s">
        <v>1269</v>
      </c>
      <c r="AU267" t="s">
        <v>1270</v>
      </c>
    </row>
    <row r="268" spans="1:47" x14ac:dyDescent="0.25">
      <c r="A268" s="1" t="s">
        <v>204</v>
      </c>
      <c r="B268" s="1" t="s">
        <v>205</v>
      </c>
      <c r="C268" s="1" t="s">
        <v>206</v>
      </c>
      <c r="D268" s="1" t="s">
        <v>94</v>
      </c>
      <c r="E268" s="1" t="s">
        <v>38</v>
      </c>
      <c r="F268" s="1" t="s">
        <v>39</v>
      </c>
      <c r="G268" s="2">
        <v>-8000</v>
      </c>
      <c r="H268" s="2">
        <v>3581494.64</v>
      </c>
      <c r="I268" s="1" t="s">
        <v>40</v>
      </c>
      <c r="J268" s="1" t="s">
        <v>49</v>
      </c>
      <c r="K268" s="1" t="s">
        <v>95</v>
      </c>
      <c r="L268" s="1" t="s">
        <v>39</v>
      </c>
      <c r="M268" s="1" t="s">
        <v>96</v>
      </c>
      <c r="P268">
        <v>318827</v>
      </c>
      <c r="Q268" t="s">
        <v>2176</v>
      </c>
      <c r="R268" t="s">
        <v>1257</v>
      </c>
      <c r="S268" t="s">
        <v>1258</v>
      </c>
      <c r="T268" t="s">
        <v>1259</v>
      </c>
      <c r="U268">
        <v>8000</v>
      </c>
      <c r="V268" s="8">
        <f>G268+U268</f>
        <v>0</v>
      </c>
      <c r="W268">
        <v>0</v>
      </c>
      <c r="X268">
        <v>63</v>
      </c>
      <c r="Y268">
        <v>0</v>
      </c>
      <c r="Z268">
        <v>1</v>
      </c>
      <c r="AA268">
        <v>0</v>
      </c>
      <c r="AB268">
        <v>7169.8360000000002</v>
      </c>
      <c r="AC268" s="4">
        <v>46267</v>
      </c>
      <c r="AD268" t="s">
        <v>2201</v>
      </c>
      <c r="AE268" t="s">
        <v>204</v>
      </c>
      <c r="AH268" t="s">
        <v>1407</v>
      </c>
      <c r="AI268" t="s">
        <v>1261</v>
      </c>
      <c r="AJ268" t="s">
        <v>1262</v>
      </c>
      <c r="AK268">
        <v>400222</v>
      </c>
      <c r="AL268" t="s">
        <v>1407</v>
      </c>
      <c r="AM268" t="s">
        <v>1263</v>
      </c>
      <c r="AN268" t="s">
        <v>2202</v>
      </c>
      <c r="AO268" t="s">
        <v>2203</v>
      </c>
      <c r="AP268" s="5">
        <v>46267.818055555559</v>
      </c>
      <c r="AQ268" t="s">
        <v>1266</v>
      </c>
      <c r="AR268" t="s">
        <v>1267</v>
      </c>
      <c r="AS268" t="s">
        <v>1268</v>
      </c>
      <c r="AT268" t="s">
        <v>1269</v>
      </c>
      <c r="AU268" t="s">
        <v>1270</v>
      </c>
    </row>
    <row r="269" spans="1:47" x14ac:dyDescent="0.25">
      <c r="A269" s="1" t="s">
        <v>201</v>
      </c>
      <c r="B269" s="1" t="s">
        <v>202</v>
      </c>
      <c r="C269" s="1" t="s">
        <v>203</v>
      </c>
      <c r="D269" s="1" t="s">
        <v>94</v>
      </c>
      <c r="E269" s="1" t="s">
        <v>38</v>
      </c>
      <c r="F269" s="1" t="s">
        <v>39</v>
      </c>
      <c r="G269" s="2">
        <v>-300</v>
      </c>
      <c r="H269" s="2">
        <v>3581194.64</v>
      </c>
      <c r="I269" s="1" t="s">
        <v>40</v>
      </c>
      <c r="J269" s="1" t="s">
        <v>49</v>
      </c>
      <c r="K269" s="1" t="s">
        <v>95</v>
      </c>
      <c r="L269" s="1" t="s">
        <v>39</v>
      </c>
      <c r="M269" s="1" t="s">
        <v>96</v>
      </c>
      <c r="P269">
        <v>318827</v>
      </c>
      <c r="Q269" t="s">
        <v>2176</v>
      </c>
      <c r="R269" t="s">
        <v>1257</v>
      </c>
      <c r="S269" t="s">
        <v>1258</v>
      </c>
      <c r="T269" t="s">
        <v>1259</v>
      </c>
      <c r="U269">
        <v>300</v>
      </c>
      <c r="V269" s="8">
        <f>G269+U269</f>
        <v>0</v>
      </c>
      <c r="W269">
        <v>0</v>
      </c>
      <c r="X269">
        <v>10</v>
      </c>
      <c r="Y269">
        <v>0</v>
      </c>
      <c r="Z269">
        <v>1</v>
      </c>
      <c r="AA269">
        <v>0</v>
      </c>
      <c r="AB269">
        <v>7158.2359999999999</v>
      </c>
      <c r="AC269" s="4">
        <v>46267</v>
      </c>
      <c r="AD269" t="s">
        <v>2204</v>
      </c>
      <c r="AE269" t="s">
        <v>201</v>
      </c>
      <c r="AH269" t="s">
        <v>1407</v>
      </c>
      <c r="AI269" t="s">
        <v>1261</v>
      </c>
      <c r="AJ269" t="s">
        <v>1262</v>
      </c>
      <c r="AK269">
        <v>400222</v>
      </c>
      <c r="AL269" t="s">
        <v>1407</v>
      </c>
      <c r="AM269" t="s">
        <v>1263</v>
      </c>
      <c r="AN269" t="s">
        <v>2205</v>
      </c>
      <c r="AO269" t="s">
        <v>2206</v>
      </c>
      <c r="AP269" s="5">
        <v>46267.819444444445</v>
      </c>
      <c r="AQ269" t="s">
        <v>1266</v>
      </c>
      <c r="AR269" t="s">
        <v>1267</v>
      </c>
      <c r="AS269" t="s">
        <v>1268</v>
      </c>
      <c r="AT269" t="s">
        <v>1269</v>
      </c>
      <c r="AU269" t="s">
        <v>1270</v>
      </c>
    </row>
    <row r="270" spans="1:47" x14ac:dyDescent="0.25">
      <c r="A270" s="1" t="s">
        <v>186</v>
      </c>
      <c r="B270" s="1" t="s">
        <v>187</v>
      </c>
      <c r="C270" s="1" t="s">
        <v>187</v>
      </c>
      <c r="D270" s="1" t="s">
        <v>188</v>
      </c>
      <c r="E270" s="1" t="s">
        <v>38</v>
      </c>
      <c r="F270" s="1" t="s">
        <v>39</v>
      </c>
      <c r="G270" s="2">
        <v>-18000</v>
      </c>
      <c r="H270" s="2">
        <v>3545294.64</v>
      </c>
      <c r="I270" s="1" t="s">
        <v>40</v>
      </c>
      <c r="J270" s="1" t="s">
        <v>49</v>
      </c>
      <c r="K270" s="1" t="s">
        <v>189</v>
      </c>
      <c r="L270" s="1" t="s">
        <v>39</v>
      </c>
      <c r="M270" s="1" t="s">
        <v>190</v>
      </c>
      <c r="P270">
        <v>1699808</v>
      </c>
      <c r="Q270" t="s">
        <v>2218</v>
      </c>
      <c r="R270" t="s">
        <v>1286</v>
      </c>
      <c r="T270" t="s">
        <v>1259</v>
      </c>
      <c r="U270">
        <v>18000</v>
      </c>
      <c r="V270" s="8">
        <f>G270+U270</f>
        <v>0</v>
      </c>
      <c r="W270">
        <v>0</v>
      </c>
      <c r="X270">
        <v>82</v>
      </c>
      <c r="Y270">
        <v>18</v>
      </c>
      <c r="Z270">
        <v>0</v>
      </c>
      <c r="AA270">
        <v>0</v>
      </c>
      <c r="AB270">
        <v>23718</v>
      </c>
      <c r="AC270" s="4">
        <v>46267</v>
      </c>
      <c r="AD270" t="s">
        <v>2219</v>
      </c>
      <c r="AE270" t="s">
        <v>186</v>
      </c>
      <c r="AH270" t="s">
        <v>2220</v>
      </c>
      <c r="AI270" t="s">
        <v>1261</v>
      </c>
      <c r="AJ270" t="s">
        <v>1262</v>
      </c>
      <c r="AK270">
        <v>1699808</v>
      </c>
      <c r="AL270" t="s">
        <v>2220</v>
      </c>
      <c r="AM270" t="s">
        <v>1263</v>
      </c>
      <c r="AN270" t="s">
        <v>2221</v>
      </c>
      <c r="AO270" t="s">
        <v>2222</v>
      </c>
      <c r="AP270" s="5">
        <v>46267.837500000001</v>
      </c>
      <c r="AQ270" t="s">
        <v>1266</v>
      </c>
      <c r="AS270" t="s">
        <v>1268</v>
      </c>
      <c r="AT270" t="s">
        <v>1269</v>
      </c>
      <c r="AU270" t="s">
        <v>1270</v>
      </c>
    </row>
    <row r="271" spans="1:47" x14ac:dyDescent="0.25">
      <c r="A271" s="1" t="s">
        <v>177</v>
      </c>
      <c r="B271" s="1" t="s">
        <v>178</v>
      </c>
      <c r="C271" s="1" t="s">
        <v>179</v>
      </c>
      <c r="D271" s="1" t="s">
        <v>180</v>
      </c>
      <c r="E271" s="1" t="s">
        <v>38</v>
      </c>
      <c r="F271" s="1" t="s">
        <v>39</v>
      </c>
      <c r="G271" s="2">
        <v>-500</v>
      </c>
      <c r="H271" s="2">
        <v>3544709.64</v>
      </c>
      <c r="I271" s="1" t="s">
        <v>40</v>
      </c>
      <c r="J271" s="1" t="s">
        <v>41</v>
      </c>
      <c r="K271" s="1" t="s">
        <v>181</v>
      </c>
      <c r="L271" s="1" t="s">
        <v>39</v>
      </c>
      <c r="M271" s="1" t="s">
        <v>39</v>
      </c>
      <c r="P271">
        <v>445424</v>
      </c>
      <c r="Q271" t="s">
        <v>2226</v>
      </c>
      <c r="R271" t="s">
        <v>1286</v>
      </c>
      <c r="T271" t="s">
        <v>1259</v>
      </c>
      <c r="U271">
        <v>500</v>
      </c>
      <c r="V271" s="8">
        <f>G271+U271</f>
        <v>0</v>
      </c>
      <c r="W271">
        <v>0</v>
      </c>
      <c r="X271">
        <v>10</v>
      </c>
      <c r="Y271">
        <v>2</v>
      </c>
      <c r="Z271">
        <v>0</v>
      </c>
      <c r="AA271">
        <v>0</v>
      </c>
      <c r="AB271">
        <v>44528</v>
      </c>
      <c r="AC271" s="4">
        <v>46267</v>
      </c>
      <c r="AD271" t="s">
        <v>2227</v>
      </c>
      <c r="AE271" t="s">
        <v>177</v>
      </c>
      <c r="AI271" t="s">
        <v>1261</v>
      </c>
      <c r="AJ271" t="s">
        <v>1262</v>
      </c>
      <c r="AK271">
        <v>445424</v>
      </c>
      <c r="AM271" t="s">
        <v>1263</v>
      </c>
      <c r="AN271" t="s">
        <v>2228</v>
      </c>
      <c r="AO271" t="s">
        <v>2229</v>
      </c>
      <c r="AP271" s="5">
        <v>46267.840277777781</v>
      </c>
      <c r="AQ271" t="s">
        <v>1266</v>
      </c>
      <c r="AS271" t="s">
        <v>1268</v>
      </c>
      <c r="AT271" t="s">
        <v>1269</v>
      </c>
      <c r="AU271" t="s">
        <v>1270</v>
      </c>
    </row>
    <row r="272" spans="1:47" x14ac:dyDescent="0.25">
      <c r="A272" s="1" t="s">
        <v>158</v>
      </c>
      <c r="B272" s="1" t="s">
        <v>159</v>
      </c>
      <c r="C272" s="1" t="s">
        <v>160</v>
      </c>
      <c r="D272" s="1" t="s">
        <v>161</v>
      </c>
      <c r="E272" s="1" t="s">
        <v>38</v>
      </c>
      <c r="F272" s="1" t="s">
        <v>39</v>
      </c>
      <c r="G272" s="2">
        <v>-4810</v>
      </c>
      <c r="H272" s="2">
        <v>3527403.64</v>
      </c>
      <c r="I272" s="1" t="s">
        <v>40</v>
      </c>
      <c r="J272" s="1" t="s">
        <v>49</v>
      </c>
      <c r="K272" s="1" t="s">
        <v>162</v>
      </c>
      <c r="L272" s="1" t="s">
        <v>39</v>
      </c>
      <c r="M272" s="1" t="s">
        <v>163</v>
      </c>
      <c r="P272">
        <v>194102</v>
      </c>
      <c r="Q272" t="s">
        <v>2239</v>
      </c>
      <c r="R272" t="s">
        <v>1257</v>
      </c>
      <c r="S272" t="s">
        <v>1258</v>
      </c>
      <c r="T272" t="s">
        <v>1259</v>
      </c>
      <c r="U272">
        <v>4810</v>
      </c>
      <c r="V272" s="8">
        <f>G272+U272</f>
        <v>0</v>
      </c>
      <c r="W272">
        <v>0</v>
      </c>
      <c r="X272">
        <v>49</v>
      </c>
      <c r="Y272">
        <v>0</v>
      </c>
      <c r="Z272">
        <v>0</v>
      </c>
      <c r="AA272">
        <v>0</v>
      </c>
      <c r="AB272">
        <v>4357.24</v>
      </c>
      <c r="AC272" s="4">
        <v>46267</v>
      </c>
      <c r="AD272" t="s">
        <v>2240</v>
      </c>
      <c r="AE272" t="s">
        <v>158</v>
      </c>
      <c r="AH272" t="s">
        <v>2241</v>
      </c>
      <c r="AI272" t="s">
        <v>1261</v>
      </c>
      <c r="AJ272" t="s">
        <v>1262</v>
      </c>
      <c r="AK272">
        <v>4298298</v>
      </c>
      <c r="AL272" t="s">
        <v>2241</v>
      </c>
      <c r="AM272" t="s">
        <v>1263</v>
      </c>
      <c r="AN272" t="s">
        <v>2242</v>
      </c>
      <c r="AO272" t="s">
        <v>2243</v>
      </c>
      <c r="AP272" s="5">
        <v>46267.862500000003</v>
      </c>
      <c r="AQ272" t="s">
        <v>1266</v>
      </c>
      <c r="AR272" t="s">
        <v>1267</v>
      </c>
      <c r="AS272" t="s">
        <v>1268</v>
      </c>
      <c r="AT272" t="s">
        <v>1269</v>
      </c>
      <c r="AU272" t="s">
        <v>1270</v>
      </c>
    </row>
    <row r="273" spans="1:47" x14ac:dyDescent="0.25">
      <c r="A273" s="1" t="s">
        <v>140</v>
      </c>
      <c r="B273" s="1" t="s">
        <v>141</v>
      </c>
      <c r="C273" s="1" t="s">
        <v>141</v>
      </c>
      <c r="D273" s="1" t="s">
        <v>142</v>
      </c>
      <c r="E273" s="1" t="s">
        <v>38</v>
      </c>
      <c r="F273" s="1" t="s">
        <v>39</v>
      </c>
      <c r="G273" s="2">
        <v>-1700</v>
      </c>
      <c r="H273" s="2">
        <v>8487561.6400000006</v>
      </c>
      <c r="I273" s="1" t="s">
        <v>40</v>
      </c>
      <c r="J273" s="1" t="s">
        <v>49</v>
      </c>
      <c r="K273" s="1" t="s">
        <v>143</v>
      </c>
      <c r="L273" s="1" t="s">
        <v>39</v>
      </c>
      <c r="M273" s="1" t="s">
        <v>144</v>
      </c>
      <c r="P273">
        <v>12181</v>
      </c>
      <c r="Q273" t="s">
        <v>2244</v>
      </c>
      <c r="R273" t="s">
        <v>1257</v>
      </c>
      <c r="S273" t="s">
        <v>1258</v>
      </c>
      <c r="T273" t="s">
        <v>1259</v>
      </c>
      <c r="U273">
        <v>1700</v>
      </c>
      <c r="V273" s="8">
        <f>G273+U273</f>
        <v>0</v>
      </c>
      <c r="W273">
        <v>0</v>
      </c>
      <c r="X273">
        <v>35</v>
      </c>
      <c r="Y273">
        <v>0</v>
      </c>
      <c r="Z273">
        <v>1</v>
      </c>
      <c r="AA273">
        <v>0</v>
      </c>
      <c r="AB273">
        <v>94632.5</v>
      </c>
      <c r="AC273" s="4">
        <v>46267</v>
      </c>
      <c r="AD273" t="s">
        <v>2252</v>
      </c>
      <c r="AE273" t="s">
        <v>140</v>
      </c>
      <c r="AH273" t="s">
        <v>2246</v>
      </c>
      <c r="AI273" t="s">
        <v>1261</v>
      </c>
      <c r="AJ273" t="s">
        <v>1262</v>
      </c>
      <c r="AK273">
        <v>444174</v>
      </c>
      <c r="AL273" t="s">
        <v>2246</v>
      </c>
      <c r="AM273" t="s">
        <v>1263</v>
      </c>
      <c r="AN273" t="s">
        <v>2253</v>
      </c>
      <c r="AO273" t="s">
        <v>2254</v>
      </c>
      <c r="AP273" s="5">
        <v>46267.875</v>
      </c>
      <c r="AQ273" t="s">
        <v>1266</v>
      </c>
      <c r="AR273" t="s">
        <v>1267</v>
      </c>
      <c r="AS273" t="s">
        <v>1268</v>
      </c>
      <c r="AT273" t="s">
        <v>1269</v>
      </c>
      <c r="AU273" t="s">
        <v>1270</v>
      </c>
    </row>
    <row r="274" spans="1:47" x14ac:dyDescent="0.25">
      <c r="A274" s="1" t="s">
        <v>137</v>
      </c>
      <c r="B274" s="1" t="s">
        <v>138</v>
      </c>
      <c r="C274" s="1" t="s">
        <v>138</v>
      </c>
      <c r="D274" s="1" t="s">
        <v>139</v>
      </c>
      <c r="E274" s="1" t="s">
        <v>38</v>
      </c>
      <c r="F274" s="1" t="s">
        <v>39</v>
      </c>
      <c r="G274" s="2">
        <v>-3350</v>
      </c>
      <c r="H274" s="2">
        <v>8484186.6400000006</v>
      </c>
      <c r="I274" s="1" t="s">
        <v>40</v>
      </c>
      <c r="J274" s="1" t="s">
        <v>41</v>
      </c>
      <c r="K274" s="1" t="s">
        <v>82</v>
      </c>
      <c r="L274" s="1" t="s">
        <v>39</v>
      </c>
      <c r="M274" s="1" t="s">
        <v>39</v>
      </c>
      <c r="P274">
        <v>77484</v>
      </c>
      <c r="Q274" t="s">
        <v>2255</v>
      </c>
      <c r="R274" t="s">
        <v>1272</v>
      </c>
      <c r="S274" t="s">
        <v>1258</v>
      </c>
      <c r="T274" t="s">
        <v>1259</v>
      </c>
      <c r="U274">
        <v>3350</v>
      </c>
      <c r="V274" s="8">
        <f>G274+U274</f>
        <v>0</v>
      </c>
      <c r="W274">
        <v>0</v>
      </c>
      <c r="X274">
        <v>10</v>
      </c>
      <c r="Y274">
        <v>0</v>
      </c>
      <c r="Z274">
        <v>1</v>
      </c>
      <c r="AA274">
        <v>0</v>
      </c>
      <c r="AB274">
        <v>28.425999999999998</v>
      </c>
      <c r="AC274" s="4">
        <v>46267</v>
      </c>
      <c r="AD274" t="s">
        <v>2256</v>
      </c>
      <c r="AE274" t="s">
        <v>137</v>
      </c>
      <c r="AI274" t="s">
        <v>1261</v>
      </c>
      <c r="AJ274" t="s">
        <v>1262</v>
      </c>
      <c r="AK274">
        <v>9246253</v>
      </c>
      <c r="AM274" t="s">
        <v>1263</v>
      </c>
      <c r="AN274" t="s">
        <v>2257</v>
      </c>
      <c r="AO274" t="s">
        <v>1275</v>
      </c>
      <c r="AP274" s="5">
        <v>46267.87777777778</v>
      </c>
      <c r="AQ274" t="s">
        <v>1266</v>
      </c>
      <c r="AS274" t="s">
        <v>1268</v>
      </c>
      <c r="AT274" t="s">
        <v>1269</v>
      </c>
      <c r="AU274" t="s">
        <v>1270</v>
      </c>
    </row>
    <row r="275" spans="1:47" x14ac:dyDescent="0.25">
      <c r="A275" s="1" t="s">
        <v>134</v>
      </c>
      <c r="B275" s="1" t="s">
        <v>135</v>
      </c>
      <c r="C275" s="1" t="s">
        <v>135</v>
      </c>
      <c r="D275" s="1" t="s">
        <v>136</v>
      </c>
      <c r="E275" s="1" t="s">
        <v>38</v>
      </c>
      <c r="F275" s="1" t="s">
        <v>39</v>
      </c>
      <c r="G275" s="2">
        <v>-5400</v>
      </c>
      <c r="H275" s="2">
        <v>8478756.6400000006</v>
      </c>
      <c r="I275" s="1" t="s">
        <v>40</v>
      </c>
      <c r="J275" s="1" t="s">
        <v>41</v>
      </c>
      <c r="K275" s="1" t="s">
        <v>82</v>
      </c>
      <c r="L275" s="1" t="s">
        <v>39</v>
      </c>
      <c r="M275" s="1" t="s">
        <v>39</v>
      </c>
      <c r="P275">
        <v>77476</v>
      </c>
      <c r="Q275" t="s">
        <v>2258</v>
      </c>
      <c r="R275" t="s">
        <v>1272</v>
      </c>
      <c r="S275" t="s">
        <v>1258</v>
      </c>
      <c r="T275" t="s">
        <v>1259</v>
      </c>
      <c r="U275">
        <v>5400</v>
      </c>
      <c r="V275" s="8">
        <f>G275+U275</f>
        <v>0</v>
      </c>
      <c r="W275">
        <v>0</v>
      </c>
      <c r="X275">
        <v>15</v>
      </c>
      <c r="Y275">
        <v>0</v>
      </c>
      <c r="Z275">
        <v>1</v>
      </c>
      <c r="AA275">
        <v>0</v>
      </c>
      <c r="AB275">
        <v>14.8</v>
      </c>
      <c r="AC275" s="4">
        <v>46267</v>
      </c>
      <c r="AD275" t="s">
        <v>2259</v>
      </c>
      <c r="AE275" t="s">
        <v>134</v>
      </c>
      <c r="AI275" t="s">
        <v>1261</v>
      </c>
      <c r="AJ275" t="s">
        <v>1262</v>
      </c>
      <c r="AK275">
        <v>9246253</v>
      </c>
      <c r="AM275" t="s">
        <v>1263</v>
      </c>
      <c r="AN275" t="s">
        <v>2260</v>
      </c>
      <c r="AO275" t="s">
        <v>1275</v>
      </c>
      <c r="AP275" s="5">
        <v>46267.878472222219</v>
      </c>
      <c r="AQ275" t="s">
        <v>1266</v>
      </c>
      <c r="AS275" t="s">
        <v>1268</v>
      </c>
      <c r="AT275" t="s">
        <v>1269</v>
      </c>
      <c r="AU275" t="s">
        <v>1270</v>
      </c>
    </row>
    <row r="276" spans="1:47" x14ac:dyDescent="0.25">
      <c r="A276" s="1" t="s">
        <v>101</v>
      </c>
      <c r="B276" s="1" t="s">
        <v>102</v>
      </c>
      <c r="C276" s="1" t="s">
        <v>102</v>
      </c>
      <c r="D276" s="1" t="s">
        <v>103</v>
      </c>
      <c r="E276" s="1" t="s">
        <v>38</v>
      </c>
      <c r="F276" s="1" t="s">
        <v>39</v>
      </c>
      <c r="G276" s="2">
        <v>-5750</v>
      </c>
      <c r="H276" s="2">
        <v>8403083.6400000006</v>
      </c>
      <c r="I276" s="1" t="s">
        <v>40</v>
      </c>
      <c r="J276" s="1" t="s">
        <v>41</v>
      </c>
      <c r="K276" s="1" t="s">
        <v>104</v>
      </c>
      <c r="L276" s="1" t="s">
        <v>39</v>
      </c>
      <c r="M276" s="1" t="s">
        <v>39</v>
      </c>
      <c r="P276">
        <v>77487</v>
      </c>
      <c r="Q276" t="s">
        <v>1282</v>
      </c>
      <c r="R276" t="s">
        <v>1272</v>
      </c>
      <c r="S276" t="s">
        <v>1258</v>
      </c>
      <c r="T276" t="s">
        <v>1259</v>
      </c>
      <c r="U276">
        <v>5750</v>
      </c>
      <c r="V276" s="8">
        <f>G276+U276</f>
        <v>0</v>
      </c>
      <c r="W276">
        <v>0</v>
      </c>
      <c r="X276">
        <v>15</v>
      </c>
      <c r="Y276">
        <v>0</v>
      </c>
      <c r="Z276">
        <v>1</v>
      </c>
      <c r="AA276">
        <v>0</v>
      </c>
      <c r="AB276">
        <v>17.274000000000001</v>
      </c>
      <c r="AC276" s="4">
        <v>46267</v>
      </c>
      <c r="AD276" t="s">
        <v>2284</v>
      </c>
      <c r="AE276" t="s">
        <v>101</v>
      </c>
      <c r="AI276" t="s">
        <v>1261</v>
      </c>
      <c r="AJ276" t="s">
        <v>1262</v>
      </c>
      <c r="AK276">
        <v>821697</v>
      </c>
      <c r="AM276" t="s">
        <v>1263</v>
      </c>
      <c r="AN276" t="s">
        <v>2285</v>
      </c>
      <c r="AO276" t="s">
        <v>1275</v>
      </c>
      <c r="AP276" s="5">
        <v>46267.884027777778</v>
      </c>
      <c r="AQ276" t="s">
        <v>1266</v>
      </c>
      <c r="AS276" t="s">
        <v>1268</v>
      </c>
      <c r="AT276" t="s">
        <v>1269</v>
      </c>
      <c r="AU276" t="s">
        <v>1270</v>
      </c>
    </row>
    <row r="277" spans="1:47" x14ac:dyDescent="0.25">
      <c r="A277" s="1" t="s">
        <v>222</v>
      </c>
      <c r="B277" s="1" t="s">
        <v>223</v>
      </c>
      <c r="C277" s="1" t="s">
        <v>224</v>
      </c>
      <c r="D277" s="1" t="s">
        <v>94</v>
      </c>
      <c r="E277" s="1" t="s">
        <v>38</v>
      </c>
      <c r="F277" s="1" t="s">
        <v>39</v>
      </c>
      <c r="G277" s="2">
        <v>-12000</v>
      </c>
      <c r="H277" s="2">
        <v>3658045.64</v>
      </c>
      <c r="I277" s="1" t="s">
        <v>40</v>
      </c>
      <c r="J277" s="1" t="s">
        <v>49</v>
      </c>
      <c r="K277" s="1" t="s">
        <v>95</v>
      </c>
      <c r="L277" s="1" t="s">
        <v>39</v>
      </c>
      <c r="M277" s="1" t="s">
        <v>96</v>
      </c>
      <c r="P277">
        <v>318827</v>
      </c>
      <c r="Q277" t="s">
        <v>2176</v>
      </c>
      <c r="R277" t="s">
        <v>1257</v>
      </c>
      <c r="S277" t="s">
        <v>1258</v>
      </c>
      <c r="T277" t="s">
        <v>1259</v>
      </c>
      <c r="U277">
        <v>12000</v>
      </c>
      <c r="V277" s="8">
        <f>G277+U277</f>
        <v>0</v>
      </c>
      <c r="W277">
        <v>0</v>
      </c>
      <c r="X277">
        <v>72</v>
      </c>
      <c r="Y277">
        <v>0</v>
      </c>
      <c r="Z277">
        <v>1</v>
      </c>
      <c r="AA277">
        <v>0</v>
      </c>
      <c r="AB277">
        <v>7272.3360000000002</v>
      </c>
      <c r="AC277" s="4">
        <v>46267</v>
      </c>
      <c r="AD277" t="s">
        <v>2177</v>
      </c>
      <c r="AE277" t="s">
        <v>222</v>
      </c>
      <c r="AH277" t="s">
        <v>1407</v>
      </c>
      <c r="AI277" t="s">
        <v>1261</v>
      </c>
      <c r="AJ277" t="s">
        <v>1262</v>
      </c>
      <c r="AK277">
        <v>400222</v>
      </c>
      <c r="AL277" t="s">
        <v>1407</v>
      </c>
      <c r="AM277" t="s">
        <v>1263</v>
      </c>
      <c r="AN277" t="s">
        <v>2178</v>
      </c>
      <c r="AO277" t="s">
        <v>2179</v>
      </c>
      <c r="AP277" s="5">
        <v>46267.782638888886</v>
      </c>
      <c r="AQ277" t="s">
        <v>1266</v>
      </c>
      <c r="AR277" t="s">
        <v>1267</v>
      </c>
      <c r="AS277" t="s">
        <v>1268</v>
      </c>
      <c r="AT277" t="s">
        <v>1269</v>
      </c>
      <c r="AU277" t="s">
        <v>1270</v>
      </c>
    </row>
    <row r="278" spans="1:47" x14ac:dyDescent="0.25">
      <c r="A278" s="1" t="s">
        <v>216</v>
      </c>
      <c r="B278" s="1" t="s">
        <v>217</v>
      </c>
      <c r="C278" s="1" t="s">
        <v>218</v>
      </c>
      <c r="D278" s="1" t="s">
        <v>219</v>
      </c>
      <c r="E278" s="1" t="s">
        <v>38</v>
      </c>
      <c r="F278" s="1" t="s">
        <v>39</v>
      </c>
      <c r="G278" s="2">
        <v>-67400</v>
      </c>
      <c r="H278" s="2">
        <v>3590467.64</v>
      </c>
      <c r="I278" s="1" t="s">
        <v>40</v>
      </c>
      <c r="J278" s="1" t="s">
        <v>49</v>
      </c>
      <c r="K278" s="1" t="s">
        <v>220</v>
      </c>
      <c r="L278" s="1" t="s">
        <v>39</v>
      </c>
      <c r="M278" s="1" t="s">
        <v>221</v>
      </c>
      <c r="P278">
        <v>379411</v>
      </c>
      <c r="Q278" t="s">
        <v>1524</v>
      </c>
      <c r="R278" t="s">
        <v>1257</v>
      </c>
      <c r="T278" t="s">
        <v>1259</v>
      </c>
      <c r="U278">
        <v>67400</v>
      </c>
      <c r="V278" s="8">
        <f>G278+U278</f>
        <v>0</v>
      </c>
      <c r="W278">
        <v>0</v>
      </c>
      <c r="X278">
        <v>136</v>
      </c>
      <c r="Y278">
        <v>0</v>
      </c>
      <c r="Z278">
        <v>1</v>
      </c>
      <c r="AA278">
        <v>0</v>
      </c>
      <c r="AB278">
        <v>667341.87199999997</v>
      </c>
      <c r="AC278" s="4">
        <v>46267</v>
      </c>
      <c r="AD278" t="s">
        <v>2180</v>
      </c>
      <c r="AE278" t="s">
        <v>216</v>
      </c>
      <c r="AH278" t="s">
        <v>1326</v>
      </c>
      <c r="AI278" t="s">
        <v>1261</v>
      </c>
      <c r="AJ278" t="s">
        <v>1262</v>
      </c>
      <c r="AK278">
        <v>247247</v>
      </c>
      <c r="AL278" t="s">
        <v>1326</v>
      </c>
      <c r="AM278" t="s">
        <v>1263</v>
      </c>
      <c r="AN278" t="s">
        <v>2181</v>
      </c>
      <c r="AO278" t="s">
        <v>2182</v>
      </c>
      <c r="AP278" s="5">
        <v>46267.784722222219</v>
      </c>
      <c r="AQ278" t="s">
        <v>1266</v>
      </c>
      <c r="AR278" t="s">
        <v>1267</v>
      </c>
      <c r="AS278" t="s">
        <v>1268</v>
      </c>
      <c r="AT278" t="s">
        <v>1269</v>
      </c>
      <c r="AU278" t="s">
        <v>1270</v>
      </c>
    </row>
    <row r="279" spans="1:47" x14ac:dyDescent="0.25">
      <c r="A279" s="1" t="s">
        <v>182</v>
      </c>
      <c r="B279" s="1" t="s">
        <v>183</v>
      </c>
      <c r="C279" s="1" t="s">
        <v>183</v>
      </c>
      <c r="D279" s="1" t="s">
        <v>184</v>
      </c>
      <c r="E279" s="1" t="s">
        <v>38</v>
      </c>
      <c r="F279" s="1" t="s">
        <v>39</v>
      </c>
      <c r="G279" s="2">
        <v>-15</v>
      </c>
      <c r="H279" s="2">
        <v>3545211.64</v>
      </c>
      <c r="I279" s="1" t="s">
        <v>40</v>
      </c>
      <c r="J279" s="1" t="s">
        <v>41</v>
      </c>
      <c r="K279" s="1" t="s">
        <v>185</v>
      </c>
      <c r="L279" s="1" t="s">
        <v>39</v>
      </c>
      <c r="M279" s="1" t="s">
        <v>39</v>
      </c>
      <c r="O279">
        <v>756756</v>
      </c>
      <c r="P279">
        <v>254711665578</v>
      </c>
      <c r="Q279" t="s">
        <v>2223</v>
      </c>
      <c r="R279" t="s">
        <v>1286</v>
      </c>
      <c r="T279" t="s">
        <v>1259</v>
      </c>
      <c r="U279">
        <v>15</v>
      </c>
      <c r="V279" s="8">
        <f>G279+U279</f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229</v>
      </c>
      <c r="AC279" s="4">
        <v>46267</v>
      </c>
      <c r="AD279" t="s">
        <v>2224</v>
      </c>
      <c r="AE279" t="s">
        <v>182</v>
      </c>
      <c r="AI279" t="s">
        <v>1261</v>
      </c>
      <c r="AJ279" t="s">
        <v>1262</v>
      </c>
      <c r="AK279">
        <v>5185173</v>
      </c>
      <c r="AM279" t="s">
        <v>1263</v>
      </c>
      <c r="AN279" t="s">
        <v>2225</v>
      </c>
      <c r="AO279" t="s">
        <v>2225</v>
      </c>
      <c r="AP279" s="5">
        <v>46267.838194444441</v>
      </c>
      <c r="AQ279" t="s">
        <v>1266</v>
      </c>
      <c r="AR279" t="s">
        <v>1293</v>
      </c>
      <c r="AS279" t="s">
        <v>1268</v>
      </c>
      <c r="AT279" t="s">
        <v>1269</v>
      </c>
      <c r="AU279" t="s">
        <v>1270</v>
      </c>
    </row>
    <row r="280" spans="1:47" x14ac:dyDescent="0.25">
      <c r="A280" s="1" t="s">
        <v>109</v>
      </c>
      <c r="B280" s="1" t="s">
        <v>110</v>
      </c>
      <c r="C280" s="1" t="s">
        <v>110</v>
      </c>
      <c r="D280" s="1" t="s">
        <v>111</v>
      </c>
      <c r="E280" s="1" t="s">
        <v>38</v>
      </c>
      <c r="F280" s="1" t="s">
        <v>39</v>
      </c>
      <c r="G280" s="2">
        <v>-14400</v>
      </c>
      <c r="H280" s="2">
        <v>8421374.6400000006</v>
      </c>
      <c r="I280" s="1" t="s">
        <v>40</v>
      </c>
      <c r="J280" s="1" t="s">
        <v>41</v>
      </c>
      <c r="K280" s="1" t="s">
        <v>108</v>
      </c>
      <c r="L280" s="1" t="s">
        <v>39</v>
      </c>
      <c r="M280" s="1" t="s">
        <v>39</v>
      </c>
      <c r="P280">
        <v>15108</v>
      </c>
      <c r="Q280" t="s">
        <v>2277</v>
      </c>
      <c r="R280" t="s">
        <v>1272</v>
      </c>
      <c r="S280" t="s">
        <v>1258</v>
      </c>
      <c r="T280" t="s">
        <v>1259</v>
      </c>
      <c r="U280">
        <v>14400</v>
      </c>
      <c r="V280" s="8">
        <f>G280+U280</f>
        <v>0</v>
      </c>
      <c r="W280">
        <v>0</v>
      </c>
      <c r="X280">
        <v>15</v>
      </c>
      <c r="Y280">
        <v>0</v>
      </c>
      <c r="Z280">
        <v>1</v>
      </c>
      <c r="AA280">
        <v>0</v>
      </c>
      <c r="AB280">
        <v>169206.014</v>
      </c>
      <c r="AC280" s="4">
        <v>46267</v>
      </c>
      <c r="AD280" t="s">
        <v>2278</v>
      </c>
      <c r="AE280" t="s">
        <v>109</v>
      </c>
      <c r="AI280" t="s">
        <v>1261</v>
      </c>
      <c r="AJ280" t="s">
        <v>1262</v>
      </c>
      <c r="AK280">
        <v>968512</v>
      </c>
      <c r="AM280" t="s">
        <v>1263</v>
      </c>
      <c r="AN280" t="s">
        <v>2279</v>
      </c>
      <c r="AO280" t="s">
        <v>2280</v>
      </c>
      <c r="AP280" s="5">
        <v>46267.883333333331</v>
      </c>
      <c r="AQ280" t="s">
        <v>1266</v>
      </c>
      <c r="AS280" t="s">
        <v>1268</v>
      </c>
      <c r="AT280" t="s">
        <v>1269</v>
      </c>
      <c r="AU280" t="s">
        <v>1270</v>
      </c>
    </row>
    <row r="281" spans="1:47" x14ac:dyDescent="0.25">
      <c r="A281" s="1" t="s">
        <v>97</v>
      </c>
      <c r="B281" s="1" t="s">
        <v>98</v>
      </c>
      <c r="C281" s="1" t="s">
        <v>98</v>
      </c>
      <c r="D281" s="1" t="s">
        <v>99</v>
      </c>
      <c r="E281" s="1" t="s">
        <v>38</v>
      </c>
      <c r="F281" s="1" t="s">
        <v>39</v>
      </c>
      <c r="G281" s="2">
        <v>-3700</v>
      </c>
      <c r="H281" s="2">
        <v>8399335.6400000006</v>
      </c>
      <c r="I281" s="1" t="s">
        <v>40</v>
      </c>
      <c r="J281" s="1" t="s">
        <v>41</v>
      </c>
      <c r="K281" s="1" t="s">
        <v>100</v>
      </c>
      <c r="L281" s="1" t="s">
        <v>39</v>
      </c>
      <c r="M281" s="1" t="s">
        <v>39</v>
      </c>
      <c r="P281">
        <v>77475</v>
      </c>
      <c r="Q281" t="s">
        <v>2286</v>
      </c>
      <c r="R281" t="s">
        <v>1272</v>
      </c>
      <c r="S281" t="s">
        <v>1258</v>
      </c>
      <c r="T281" t="s">
        <v>1259</v>
      </c>
      <c r="U281">
        <v>3700</v>
      </c>
      <c r="V281" s="8">
        <f>G281+U281</f>
        <v>0</v>
      </c>
      <c r="W281">
        <v>0</v>
      </c>
      <c r="X281">
        <v>15</v>
      </c>
      <c r="Y281">
        <v>0</v>
      </c>
      <c r="Z281">
        <v>1</v>
      </c>
      <c r="AA281">
        <v>0</v>
      </c>
      <c r="AB281">
        <v>36.61</v>
      </c>
      <c r="AC281" s="4">
        <v>46267</v>
      </c>
      <c r="AD281" t="s">
        <v>2287</v>
      </c>
      <c r="AE281" t="s">
        <v>97</v>
      </c>
      <c r="AI281" t="s">
        <v>1261</v>
      </c>
      <c r="AJ281" t="s">
        <v>1262</v>
      </c>
      <c r="AK281">
        <v>4998256</v>
      </c>
      <c r="AM281" t="s">
        <v>1263</v>
      </c>
      <c r="AN281" t="s">
        <v>2288</v>
      </c>
      <c r="AO281" t="s">
        <v>1275</v>
      </c>
      <c r="AP281" s="5">
        <v>46267.88958333333</v>
      </c>
      <c r="AQ281" t="s">
        <v>1266</v>
      </c>
      <c r="AS281" t="s">
        <v>1268</v>
      </c>
      <c r="AT281" t="s">
        <v>1269</v>
      </c>
      <c r="AU281" t="s">
        <v>1270</v>
      </c>
    </row>
    <row r="282" spans="1:47" x14ac:dyDescent="0.25">
      <c r="A282" s="1" t="s">
        <v>197</v>
      </c>
      <c r="B282" s="1" t="s">
        <v>198</v>
      </c>
      <c r="C282" s="1" t="s">
        <v>198</v>
      </c>
      <c r="D282" s="1" t="s">
        <v>199</v>
      </c>
      <c r="E282" s="1" t="s">
        <v>38</v>
      </c>
      <c r="F282" s="1" t="s">
        <v>39</v>
      </c>
      <c r="G282" s="2">
        <v>-450</v>
      </c>
      <c r="H282" s="2">
        <v>3580736.64</v>
      </c>
      <c r="I282" s="1" t="s">
        <v>40</v>
      </c>
      <c r="J282" s="1" t="s">
        <v>41</v>
      </c>
      <c r="K282" s="1" t="s">
        <v>200</v>
      </c>
      <c r="L282" s="1" t="s">
        <v>39</v>
      </c>
      <c r="M282" s="1" t="s">
        <v>39</v>
      </c>
      <c r="O282">
        <v>756756</v>
      </c>
      <c r="P282">
        <v>164621</v>
      </c>
      <c r="Q282" t="s">
        <v>1519</v>
      </c>
      <c r="R282" t="s">
        <v>1320</v>
      </c>
      <c r="T282" t="s">
        <v>1259</v>
      </c>
      <c r="U282">
        <v>450</v>
      </c>
      <c r="V282" s="8">
        <f>G282+U282</f>
        <v>0</v>
      </c>
      <c r="W282">
        <v>0</v>
      </c>
      <c r="X282">
        <v>10</v>
      </c>
      <c r="Y282">
        <v>0</v>
      </c>
      <c r="Z282">
        <v>0</v>
      </c>
      <c r="AA282">
        <v>0</v>
      </c>
      <c r="AB282">
        <v>7072.97</v>
      </c>
      <c r="AC282" s="4">
        <v>46267</v>
      </c>
      <c r="AD282" t="s">
        <v>2207</v>
      </c>
      <c r="AE282" t="s">
        <v>197</v>
      </c>
      <c r="AI282" t="s">
        <v>1261</v>
      </c>
      <c r="AJ282" t="s">
        <v>1262</v>
      </c>
      <c r="AK282">
        <v>4885582</v>
      </c>
      <c r="AM282" t="s">
        <v>1263</v>
      </c>
      <c r="AN282" t="s">
        <v>2208</v>
      </c>
      <c r="AO282" t="s">
        <v>2208</v>
      </c>
      <c r="AP282" s="5">
        <v>46267.834027777775</v>
      </c>
      <c r="AQ282" t="s">
        <v>1266</v>
      </c>
      <c r="AR282" t="s">
        <v>1293</v>
      </c>
      <c r="AS282" t="s">
        <v>1268</v>
      </c>
      <c r="AT282" t="s">
        <v>1269</v>
      </c>
      <c r="AU282" t="s">
        <v>1270</v>
      </c>
    </row>
    <row r="283" spans="1:47" x14ac:dyDescent="0.25">
      <c r="A283" s="1" t="s">
        <v>191</v>
      </c>
      <c r="B283" s="1" t="s">
        <v>192</v>
      </c>
      <c r="C283" s="1" t="s">
        <v>193</v>
      </c>
      <c r="D283" s="1" t="s">
        <v>194</v>
      </c>
      <c r="E283" s="1" t="s">
        <v>38</v>
      </c>
      <c r="F283" s="1" t="s">
        <v>39</v>
      </c>
      <c r="G283" s="2">
        <v>-17366</v>
      </c>
      <c r="H283" s="2">
        <v>3563294.64</v>
      </c>
      <c r="I283" s="1" t="s">
        <v>40</v>
      </c>
      <c r="J283" s="1" t="s">
        <v>49</v>
      </c>
      <c r="K283" s="1" t="s">
        <v>195</v>
      </c>
      <c r="L283" s="1" t="s">
        <v>39</v>
      </c>
      <c r="M283" s="1" t="s">
        <v>196</v>
      </c>
      <c r="P283">
        <v>469094</v>
      </c>
      <c r="Q283" t="s">
        <v>2213</v>
      </c>
      <c r="R283" t="s">
        <v>1257</v>
      </c>
      <c r="S283" t="s">
        <v>1258</v>
      </c>
      <c r="T283" t="s">
        <v>1259</v>
      </c>
      <c r="U283">
        <v>17366</v>
      </c>
      <c r="V283" s="8">
        <f>G283+U283</f>
        <v>0</v>
      </c>
      <c r="W283">
        <v>0</v>
      </c>
      <c r="X283">
        <v>82</v>
      </c>
      <c r="Y283">
        <v>0</v>
      </c>
      <c r="Z283">
        <v>0</v>
      </c>
      <c r="AA283">
        <v>0</v>
      </c>
      <c r="AB283">
        <v>175373.48</v>
      </c>
      <c r="AC283" s="4">
        <v>46267</v>
      </c>
      <c r="AD283" t="s">
        <v>2214</v>
      </c>
      <c r="AE283" t="s">
        <v>191</v>
      </c>
      <c r="AH283" t="s">
        <v>2215</v>
      </c>
      <c r="AI283" t="s">
        <v>1261</v>
      </c>
      <c r="AJ283" t="s">
        <v>1262</v>
      </c>
      <c r="AK283">
        <v>982100</v>
      </c>
      <c r="AL283" t="s">
        <v>2215</v>
      </c>
      <c r="AM283" t="s">
        <v>1263</v>
      </c>
      <c r="AN283" t="s">
        <v>2216</v>
      </c>
      <c r="AO283" t="s">
        <v>2217</v>
      </c>
      <c r="AP283" s="5">
        <v>46267.836111111108</v>
      </c>
      <c r="AQ283" t="s">
        <v>1266</v>
      </c>
      <c r="AR283" t="s">
        <v>1267</v>
      </c>
      <c r="AS283" t="s">
        <v>1268</v>
      </c>
      <c r="AT283" t="s">
        <v>1269</v>
      </c>
      <c r="AU283" t="s">
        <v>1270</v>
      </c>
    </row>
    <row r="284" spans="1:47" x14ac:dyDescent="0.25">
      <c r="A284" s="1" t="s">
        <v>164</v>
      </c>
      <c r="B284" s="1" t="s">
        <v>165</v>
      </c>
      <c r="C284" s="1" t="s">
        <v>165</v>
      </c>
      <c r="D284" s="1" t="s">
        <v>166</v>
      </c>
      <c r="E284" s="1" t="s">
        <v>38</v>
      </c>
      <c r="F284" s="1" t="s">
        <v>39</v>
      </c>
      <c r="G284" s="2">
        <v>-50</v>
      </c>
      <c r="H284" s="2">
        <v>3532255.64</v>
      </c>
      <c r="I284" s="1" t="s">
        <v>40</v>
      </c>
      <c r="J284" s="1" t="s">
        <v>41</v>
      </c>
      <c r="K284" s="1" t="s">
        <v>167</v>
      </c>
      <c r="L284" s="1" t="s">
        <v>39</v>
      </c>
      <c r="M284" s="1" t="s">
        <v>39</v>
      </c>
      <c r="O284">
        <v>756756</v>
      </c>
      <c r="P284">
        <v>1667632</v>
      </c>
      <c r="Q284" t="s">
        <v>2236</v>
      </c>
      <c r="R284" t="s">
        <v>1320</v>
      </c>
      <c r="T284" t="s">
        <v>1259</v>
      </c>
      <c r="U284">
        <v>50</v>
      </c>
      <c r="V284" s="8">
        <f>G284+U284</f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5647.25</v>
      </c>
      <c r="AC284" s="4">
        <v>46267</v>
      </c>
      <c r="AD284" t="s">
        <v>2237</v>
      </c>
      <c r="AE284" t="s">
        <v>164</v>
      </c>
      <c r="AI284" t="s">
        <v>1261</v>
      </c>
      <c r="AJ284" t="s">
        <v>1262</v>
      </c>
      <c r="AK284">
        <v>6096903</v>
      </c>
      <c r="AM284" t="s">
        <v>1263</v>
      </c>
      <c r="AN284" t="s">
        <v>2238</v>
      </c>
      <c r="AO284" t="s">
        <v>2238</v>
      </c>
      <c r="AP284" s="5">
        <v>46267.859027777777</v>
      </c>
      <c r="AQ284" t="s">
        <v>1266</v>
      </c>
      <c r="AR284" t="s">
        <v>1293</v>
      </c>
      <c r="AS284" t="s">
        <v>1268</v>
      </c>
      <c r="AT284" t="s">
        <v>1269</v>
      </c>
      <c r="AU284" t="s">
        <v>1270</v>
      </c>
    </row>
    <row r="285" spans="1:47" x14ac:dyDescent="0.25">
      <c r="A285" s="1" t="s">
        <v>116</v>
      </c>
      <c r="B285" s="1" t="s">
        <v>117</v>
      </c>
      <c r="C285" s="1" t="s">
        <v>118</v>
      </c>
      <c r="D285" s="1" t="s">
        <v>119</v>
      </c>
      <c r="E285" s="1" t="s">
        <v>38</v>
      </c>
      <c r="F285" s="1" t="s">
        <v>39</v>
      </c>
      <c r="G285" s="2">
        <v>-11000</v>
      </c>
      <c r="H285" s="2">
        <v>8436145.6400000006</v>
      </c>
      <c r="I285" s="1" t="s">
        <v>40</v>
      </c>
      <c r="J285" s="1" t="s">
        <v>41</v>
      </c>
      <c r="K285" s="1" t="s">
        <v>108</v>
      </c>
      <c r="L285" s="1" t="s">
        <v>39</v>
      </c>
      <c r="M285" s="1" t="s">
        <v>39</v>
      </c>
      <c r="P285">
        <v>15116</v>
      </c>
      <c r="Q285" t="s">
        <v>2271</v>
      </c>
      <c r="R285" t="s">
        <v>1272</v>
      </c>
      <c r="S285" t="s">
        <v>1258</v>
      </c>
      <c r="T285" t="s">
        <v>1259</v>
      </c>
      <c r="U285">
        <v>11000</v>
      </c>
      <c r="V285" s="8">
        <f>G285+U285</f>
        <v>0</v>
      </c>
      <c r="W285">
        <v>0</v>
      </c>
      <c r="X285">
        <v>15</v>
      </c>
      <c r="Y285">
        <v>0</v>
      </c>
      <c r="Z285">
        <v>1</v>
      </c>
      <c r="AA285">
        <v>0</v>
      </c>
      <c r="AB285">
        <v>168788.538</v>
      </c>
      <c r="AC285" s="4">
        <v>46267</v>
      </c>
      <c r="AD285" t="s">
        <v>2272</v>
      </c>
      <c r="AE285" t="s">
        <v>116</v>
      </c>
      <c r="AI285" t="s">
        <v>1261</v>
      </c>
      <c r="AJ285" t="s">
        <v>1262</v>
      </c>
      <c r="AK285">
        <v>968512</v>
      </c>
      <c r="AM285" t="s">
        <v>1263</v>
      </c>
      <c r="AN285" t="s">
        <v>2273</v>
      </c>
      <c r="AO285" t="s">
        <v>1309</v>
      </c>
      <c r="AP285" s="5">
        <v>46267.881944444445</v>
      </c>
      <c r="AQ285" t="s">
        <v>1266</v>
      </c>
      <c r="AS285" t="s">
        <v>1268</v>
      </c>
      <c r="AT285" t="s">
        <v>1269</v>
      </c>
      <c r="AU285" t="s">
        <v>1270</v>
      </c>
    </row>
    <row r="286" spans="1:47" x14ac:dyDescent="0.25">
      <c r="A286" s="1" t="s">
        <v>112</v>
      </c>
      <c r="B286" s="1" t="s">
        <v>113</v>
      </c>
      <c r="C286" s="1" t="s">
        <v>113</v>
      </c>
      <c r="D286" s="1" t="s">
        <v>114</v>
      </c>
      <c r="E286" s="1" t="s">
        <v>38</v>
      </c>
      <c r="F286" s="1" t="s">
        <v>39</v>
      </c>
      <c r="G286" s="2">
        <v>-300</v>
      </c>
      <c r="H286" s="2">
        <v>8435782.6400000006</v>
      </c>
      <c r="I286" s="1" t="s">
        <v>40</v>
      </c>
      <c r="J286" s="1" t="s">
        <v>41</v>
      </c>
      <c r="K286" s="1" t="s">
        <v>115</v>
      </c>
      <c r="L286" s="1" t="s">
        <v>39</v>
      </c>
      <c r="M286" s="1" t="s">
        <v>39</v>
      </c>
      <c r="O286">
        <v>756756</v>
      </c>
      <c r="P286">
        <v>254725682509</v>
      </c>
      <c r="Q286" t="s">
        <v>2274</v>
      </c>
      <c r="R286" t="s">
        <v>1286</v>
      </c>
      <c r="T286" t="s">
        <v>1259</v>
      </c>
      <c r="U286">
        <v>300</v>
      </c>
      <c r="V286" s="8">
        <f>G286+U286</f>
        <v>0</v>
      </c>
      <c r="W286">
        <v>0</v>
      </c>
      <c r="X286">
        <v>10</v>
      </c>
      <c r="Y286">
        <v>0</v>
      </c>
      <c r="Z286">
        <v>0</v>
      </c>
      <c r="AA286">
        <v>0</v>
      </c>
      <c r="AB286">
        <v>2756</v>
      </c>
      <c r="AC286" s="4">
        <v>46267</v>
      </c>
      <c r="AD286" t="s">
        <v>2275</v>
      </c>
      <c r="AE286" t="s">
        <v>112</v>
      </c>
      <c r="AI286" t="s">
        <v>1261</v>
      </c>
      <c r="AJ286" t="s">
        <v>1262</v>
      </c>
      <c r="AK286">
        <v>8234036</v>
      </c>
      <c r="AM286" t="s">
        <v>1263</v>
      </c>
      <c r="AN286" t="s">
        <v>2276</v>
      </c>
      <c r="AO286" t="s">
        <v>2276</v>
      </c>
      <c r="AP286" s="5">
        <v>46267.881944444445</v>
      </c>
      <c r="AQ286" t="s">
        <v>1266</v>
      </c>
      <c r="AR286" t="s">
        <v>1293</v>
      </c>
      <c r="AS286" t="s">
        <v>1268</v>
      </c>
      <c r="AT286" t="s">
        <v>1269</v>
      </c>
      <c r="AU286" t="s">
        <v>1270</v>
      </c>
    </row>
    <row r="287" spans="1:47" x14ac:dyDescent="0.25">
      <c r="A287" s="1" t="s">
        <v>91</v>
      </c>
      <c r="B287" s="1" t="s">
        <v>92</v>
      </c>
      <c r="C287" s="1" t="s">
        <v>93</v>
      </c>
      <c r="D287" s="1" t="s">
        <v>94</v>
      </c>
      <c r="E287" s="1" t="s">
        <v>38</v>
      </c>
      <c r="F287" s="1" t="s">
        <v>39</v>
      </c>
      <c r="G287" s="2">
        <v>-8650</v>
      </c>
      <c r="H287" s="2">
        <v>8390592.6400000006</v>
      </c>
      <c r="I287" s="1" t="s">
        <v>40</v>
      </c>
      <c r="J287" s="1" t="s">
        <v>49</v>
      </c>
      <c r="K287" s="1" t="s">
        <v>95</v>
      </c>
      <c r="L287" s="1" t="s">
        <v>39</v>
      </c>
      <c r="M287" s="1" t="s">
        <v>96</v>
      </c>
      <c r="P287">
        <v>318827</v>
      </c>
      <c r="Q287" t="s">
        <v>2176</v>
      </c>
      <c r="R287" t="s">
        <v>1257</v>
      </c>
      <c r="S287" t="s">
        <v>1258</v>
      </c>
      <c r="T287" t="s">
        <v>1259</v>
      </c>
      <c r="U287">
        <v>8650</v>
      </c>
      <c r="V287" s="8">
        <f>G287+U287</f>
        <v>0</v>
      </c>
      <c r="W287">
        <v>0</v>
      </c>
      <c r="X287">
        <v>63</v>
      </c>
      <c r="Y287">
        <v>0</v>
      </c>
      <c r="Z287">
        <v>1</v>
      </c>
      <c r="AA287">
        <v>0</v>
      </c>
      <c r="AB287">
        <v>7076.9359999999997</v>
      </c>
      <c r="AC287" s="4">
        <v>46267</v>
      </c>
      <c r="AD287" t="s">
        <v>2289</v>
      </c>
      <c r="AE287" t="s">
        <v>91</v>
      </c>
      <c r="AH287" t="s">
        <v>1407</v>
      </c>
      <c r="AI287" t="s">
        <v>1261</v>
      </c>
      <c r="AJ287" t="s">
        <v>1262</v>
      </c>
      <c r="AK287">
        <v>400222</v>
      </c>
      <c r="AL287" t="s">
        <v>1407</v>
      </c>
      <c r="AM287" t="s">
        <v>1263</v>
      </c>
      <c r="AN287" t="s">
        <v>2290</v>
      </c>
      <c r="AO287" t="s">
        <v>2291</v>
      </c>
      <c r="AP287" s="5">
        <v>46267.893750000003</v>
      </c>
      <c r="AQ287" t="s">
        <v>1266</v>
      </c>
      <c r="AR287" t="s">
        <v>1267</v>
      </c>
      <c r="AS287" t="s">
        <v>1268</v>
      </c>
      <c r="AT287" t="s">
        <v>1269</v>
      </c>
      <c r="AU287" t="s">
        <v>1270</v>
      </c>
    </row>
    <row r="288" spans="1:47" x14ac:dyDescent="0.25">
      <c r="A288" s="1" t="s">
        <v>171</v>
      </c>
      <c r="B288" s="1" t="s">
        <v>172</v>
      </c>
      <c r="C288" s="1" t="s">
        <v>173</v>
      </c>
      <c r="D288" s="1" t="s">
        <v>174</v>
      </c>
      <c r="E288" s="1" t="s">
        <v>38</v>
      </c>
      <c r="F288" s="1" t="s">
        <v>39</v>
      </c>
      <c r="G288" s="2">
        <v>-6000</v>
      </c>
      <c r="H288" s="2">
        <v>3538701.64</v>
      </c>
      <c r="I288" s="1" t="s">
        <v>40</v>
      </c>
      <c r="J288" s="1" t="s">
        <v>49</v>
      </c>
      <c r="K288" s="1" t="s">
        <v>175</v>
      </c>
      <c r="L288" s="1" t="s">
        <v>39</v>
      </c>
      <c r="M288" s="1" t="s">
        <v>176</v>
      </c>
      <c r="O288">
        <v>756756</v>
      </c>
      <c r="P288">
        <v>149584</v>
      </c>
      <c r="Q288" t="s">
        <v>2230</v>
      </c>
      <c r="R288" t="s">
        <v>1569</v>
      </c>
      <c r="T288" t="s">
        <v>1259</v>
      </c>
      <c r="U288">
        <v>6000</v>
      </c>
      <c r="V288" s="8">
        <f>G288+U288</f>
        <v>0</v>
      </c>
      <c r="W288">
        <v>0</v>
      </c>
      <c r="X288">
        <v>57</v>
      </c>
      <c r="Y288">
        <v>0</v>
      </c>
      <c r="Z288">
        <v>0</v>
      </c>
      <c r="AA288">
        <v>0</v>
      </c>
      <c r="AB288">
        <v>3789</v>
      </c>
      <c r="AC288" s="4">
        <v>46267</v>
      </c>
      <c r="AD288" t="s">
        <v>2231</v>
      </c>
      <c r="AE288" t="s">
        <v>171</v>
      </c>
      <c r="AH288" t="s">
        <v>2232</v>
      </c>
      <c r="AI288" t="s">
        <v>1261</v>
      </c>
      <c r="AJ288" t="s">
        <v>1262</v>
      </c>
      <c r="AK288">
        <v>793174</v>
      </c>
      <c r="AL288" t="s">
        <v>2232</v>
      </c>
      <c r="AM288" t="s">
        <v>1263</v>
      </c>
      <c r="AN288" t="s">
        <v>2233</v>
      </c>
      <c r="AO288" s="6" t="s">
        <v>176</v>
      </c>
      <c r="AP288" s="5">
        <v>46267.844444444447</v>
      </c>
      <c r="AQ288" t="s">
        <v>1266</v>
      </c>
      <c r="AR288" t="s">
        <v>1293</v>
      </c>
      <c r="AS288" t="s">
        <v>1268</v>
      </c>
      <c r="AT288" t="s">
        <v>1269</v>
      </c>
      <c r="AU288" t="s">
        <v>1270</v>
      </c>
    </row>
    <row r="289" spans="1:47" x14ac:dyDescent="0.25">
      <c r="A289" s="1" t="s">
        <v>149</v>
      </c>
      <c r="B289" s="1" t="s">
        <v>150</v>
      </c>
      <c r="C289" s="1" t="s">
        <v>150</v>
      </c>
      <c r="D289" s="1" t="s">
        <v>151</v>
      </c>
      <c r="E289" s="1" t="s">
        <v>38</v>
      </c>
      <c r="F289" s="1" t="s">
        <v>39</v>
      </c>
      <c r="G289" s="2">
        <v>-10200</v>
      </c>
      <c r="H289" s="2">
        <v>8517203.6400000006</v>
      </c>
      <c r="I289" s="1" t="s">
        <v>40</v>
      </c>
      <c r="J289" s="1" t="s">
        <v>49</v>
      </c>
      <c r="K289" s="1" t="s">
        <v>143</v>
      </c>
      <c r="L289" s="1" t="s">
        <v>39</v>
      </c>
      <c r="M289" s="1" t="s">
        <v>152</v>
      </c>
      <c r="P289">
        <v>12181</v>
      </c>
      <c r="Q289" t="s">
        <v>2244</v>
      </c>
      <c r="R289" t="s">
        <v>1257</v>
      </c>
      <c r="S289" t="s">
        <v>1258</v>
      </c>
      <c r="T289" t="s">
        <v>1259</v>
      </c>
      <c r="U289">
        <v>10200</v>
      </c>
      <c r="V289" s="8">
        <f>G289+U289</f>
        <v>0</v>
      </c>
      <c r="W289">
        <v>0</v>
      </c>
      <c r="X289">
        <v>72</v>
      </c>
      <c r="Y289">
        <v>0</v>
      </c>
      <c r="Z289">
        <v>1</v>
      </c>
      <c r="AA289">
        <v>0</v>
      </c>
      <c r="AB289">
        <v>124261.5</v>
      </c>
      <c r="AC289" s="4">
        <v>46267</v>
      </c>
      <c r="AD289" t="s">
        <v>2245</v>
      </c>
      <c r="AE289" t="s">
        <v>149</v>
      </c>
      <c r="AH289" t="s">
        <v>2246</v>
      </c>
      <c r="AI289" t="s">
        <v>1261</v>
      </c>
      <c r="AJ289" t="s">
        <v>1262</v>
      </c>
      <c r="AK289">
        <v>444174</v>
      </c>
      <c r="AL289" t="s">
        <v>2246</v>
      </c>
      <c r="AM289" t="s">
        <v>1263</v>
      </c>
      <c r="AN289" t="s">
        <v>2247</v>
      </c>
      <c r="AO289" t="s">
        <v>2248</v>
      </c>
      <c r="AP289" s="5">
        <v>46267.875</v>
      </c>
      <c r="AQ289" t="s">
        <v>1266</v>
      </c>
      <c r="AR289" t="s">
        <v>1267</v>
      </c>
      <c r="AS289" t="s">
        <v>1268</v>
      </c>
      <c r="AT289" t="s">
        <v>1269</v>
      </c>
      <c r="AU289" t="s">
        <v>1270</v>
      </c>
    </row>
    <row r="290" spans="1:47" x14ac:dyDescent="0.25">
      <c r="A290" s="1" t="s">
        <v>131</v>
      </c>
      <c r="B290" s="1" t="s">
        <v>132</v>
      </c>
      <c r="C290" s="1" t="s">
        <v>132</v>
      </c>
      <c r="D290" s="1" t="s">
        <v>133</v>
      </c>
      <c r="E290" s="1" t="s">
        <v>38</v>
      </c>
      <c r="F290" s="1" t="s">
        <v>39</v>
      </c>
      <c r="G290" s="2">
        <v>-7900</v>
      </c>
      <c r="H290" s="2">
        <v>8470808.6400000006</v>
      </c>
      <c r="I290" s="1" t="s">
        <v>40</v>
      </c>
      <c r="J290" s="1" t="s">
        <v>41</v>
      </c>
      <c r="K290" s="1" t="s">
        <v>82</v>
      </c>
      <c r="L290" s="1" t="s">
        <v>39</v>
      </c>
      <c r="M290" s="1" t="s">
        <v>39</v>
      </c>
      <c r="P290">
        <v>77477</v>
      </c>
      <c r="Q290" t="s">
        <v>2261</v>
      </c>
      <c r="R290" t="s">
        <v>1272</v>
      </c>
      <c r="S290" t="s">
        <v>1258</v>
      </c>
      <c r="T290" t="s">
        <v>1259</v>
      </c>
      <c r="U290">
        <v>7900</v>
      </c>
      <c r="V290" s="8">
        <f>G290+U290</f>
        <v>0</v>
      </c>
      <c r="W290">
        <v>0</v>
      </c>
      <c r="X290">
        <v>15</v>
      </c>
      <c r="Y290">
        <v>0</v>
      </c>
      <c r="Z290">
        <v>1</v>
      </c>
      <c r="AA290">
        <v>0</v>
      </c>
      <c r="AB290">
        <v>12.074</v>
      </c>
      <c r="AC290" s="4">
        <v>46267</v>
      </c>
      <c r="AD290" t="s">
        <v>2262</v>
      </c>
      <c r="AE290" t="s">
        <v>131</v>
      </c>
      <c r="AI290" t="s">
        <v>1261</v>
      </c>
      <c r="AJ290" t="s">
        <v>1262</v>
      </c>
      <c r="AK290">
        <v>9246253</v>
      </c>
      <c r="AM290" t="s">
        <v>1263</v>
      </c>
      <c r="AN290" t="s">
        <v>2263</v>
      </c>
      <c r="AO290" t="s">
        <v>1275</v>
      </c>
      <c r="AP290" s="5">
        <v>46267.879166666666</v>
      </c>
      <c r="AQ290" t="s">
        <v>1266</v>
      </c>
      <c r="AS290" t="s">
        <v>1268</v>
      </c>
      <c r="AT290" t="s">
        <v>1269</v>
      </c>
      <c r="AU290" t="s">
        <v>1270</v>
      </c>
    </row>
    <row r="291" spans="1:47" x14ac:dyDescent="0.25">
      <c r="A291" s="1" t="s">
        <v>88</v>
      </c>
      <c r="B291" s="1" t="s">
        <v>89</v>
      </c>
      <c r="C291" s="1" t="s">
        <v>89</v>
      </c>
      <c r="D291" s="1" t="s">
        <v>90</v>
      </c>
      <c r="E291" s="1" t="s">
        <v>38</v>
      </c>
      <c r="F291" s="1" t="s">
        <v>39</v>
      </c>
      <c r="G291" s="2">
        <v>-6700</v>
      </c>
      <c r="H291" s="2">
        <v>8383892.6399999997</v>
      </c>
      <c r="I291" s="1" t="s">
        <v>40</v>
      </c>
      <c r="J291" s="1" t="s">
        <v>41</v>
      </c>
      <c r="K291" s="1" t="s">
        <v>82</v>
      </c>
      <c r="L291" s="1" t="s">
        <v>39</v>
      </c>
      <c r="M291" s="1" t="s">
        <v>39</v>
      </c>
      <c r="P291">
        <v>80420</v>
      </c>
      <c r="Q291" t="s">
        <v>2296</v>
      </c>
      <c r="R291" t="s">
        <v>1272</v>
      </c>
      <c r="S291" t="s">
        <v>1258</v>
      </c>
      <c r="T291" t="s">
        <v>1259</v>
      </c>
      <c r="U291">
        <v>6700</v>
      </c>
      <c r="V291" s="8">
        <f>G291+U291</f>
        <v>0</v>
      </c>
      <c r="W291">
        <v>0</v>
      </c>
      <c r="X291">
        <v>15</v>
      </c>
      <c r="Y291">
        <v>0</v>
      </c>
      <c r="Z291">
        <v>1</v>
      </c>
      <c r="AA291">
        <v>0</v>
      </c>
      <c r="AB291">
        <v>14.032</v>
      </c>
      <c r="AC291" s="4">
        <v>46267</v>
      </c>
      <c r="AD291" t="s">
        <v>2297</v>
      </c>
      <c r="AE291" t="s">
        <v>88</v>
      </c>
      <c r="AI291" t="s">
        <v>1261</v>
      </c>
      <c r="AJ291" t="s">
        <v>1262</v>
      </c>
      <c r="AK291">
        <v>9246253</v>
      </c>
      <c r="AM291" t="s">
        <v>1263</v>
      </c>
      <c r="AN291" t="s">
        <v>2298</v>
      </c>
      <c r="AO291" t="s">
        <v>1275</v>
      </c>
      <c r="AP291" s="5">
        <v>46267.902777777781</v>
      </c>
      <c r="AQ291" t="s">
        <v>1266</v>
      </c>
      <c r="AS291" t="s">
        <v>1268</v>
      </c>
      <c r="AT291" t="s">
        <v>1269</v>
      </c>
      <c r="AU291" t="s">
        <v>1270</v>
      </c>
    </row>
    <row r="292" spans="1:47" x14ac:dyDescent="0.25">
      <c r="A292" s="1" t="s">
        <v>83</v>
      </c>
      <c r="B292" s="1" t="s">
        <v>84</v>
      </c>
      <c r="C292" s="1" t="s">
        <v>84</v>
      </c>
      <c r="D292" s="1" t="s">
        <v>85</v>
      </c>
      <c r="E292" s="1" t="s">
        <v>38</v>
      </c>
      <c r="F292" s="1" t="s">
        <v>39</v>
      </c>
      <c r="G292" s="2">
        <v>-2000</v>
      </c>
      <c r="H292" s="2">
        <v>8381844.6399999997</v>
      </c>
      <c r="I292" s="1" t="s">
        <v>40</v>
      </c>
      <c r="J292" s="1" t="s">
        <v>49</v>
      </c>
      <c r="K292" s="1" t="s">
        <v>86</v>
      </c>
      <c r="L292" s="1" t="s">
        <v>39</v>
      </c>
      <c r="M292" s="1" t="s">
        <v>87</v>
      </c>
      <c r="P292">
        <v>1326697</v>
      </c>
      <c r="Q292" t="s">
        <v>1358</v>
      </c>
      <c r="R292" t="s">
        <v>1286</v>
      </c>
      <c r="T292" t="s">
        <v>1259</v>
      </c>
      <c r="U292">
        <v>2000</v>
      </c>
      <c r="V292" s="8">
        <f>G292+U292</f>
        <v>0</v>
      </c>
      <c r="W292">
        <v>0</v>
      </c>
      <c r="X292">
        <v>35</v>
      </c>
      <c r="Y292">
        <v>2</v>
      </c>
      <c r="Z292">
        <v>0</v>
      </c>
      <c r="AA292">
        <v>0</v>
      </c>
      <c r="AB292">
        <v>11107</v>
      </c>
      <c r="AC292" s="4">
        <v>46267</v>
      </c>
      <c r="AD292" t="s">
        <v>2303</v>
      </c>
      <c r="AE292" t="s">
        <v>83</v>
      </c>
      <c r="AH292" t="s">
        <v>2304</v>
      </c>
      <c r="AI292" t="s">
        <v>1261</v>
      </c>
      <c r="AJ292" t="s">
        <v>1262</v>
      </c>
      <c r="AK292">
        <v>1326697</v>
      </c>
      <c r="AL292" t="s">
        <v>2304</v>
      </c>
      <c r="AM292" t="s">
        <v>1263</v>
      </c>
      <c r="AN292" t="s">
        <v>2305</v>
      </c>
      <c r="AO292" t="s">
        <v>2306</v>
      </c>
      <c r="AP292" s="5">
        <v>46267.90625</v>
      </c>
      <c r="AQ292" t="s">
        <v>1266</v>
      </c>
      <c r="AS292" t="s">
        <v>1268</v>
      </c>
      <c r="AT292" t="s">
        <v>1269</v>
      </c>
      <c r="AU292" t="s">
        <v>1270</v>
      </c>
    </row>
    <row r="293" spans="1:47" x14ac:dyDescent="0.25">
      <c r="A293" s="1" t="s">
        <v>60</v>
      </c>
      <c r="B293" s="1" t="s">
        <v>61</v>
      </c>
      <c r="C293" s="1" t="s">
        <v>61</v>
      </c>
      <c r="D293" s="1" t="s">
        <v>62</v>
      </c>
      <c r="E293" s="1" t="s">
        <v>38</v>
      </c>
      <c r="F293" s="1" t="s">
        <v>39</v>
      </c>
      <c r="G293" s="2">
        <v>-4300</v>
      </c>
      <c r="H293" s="2">
        <v>8353731.6399999997</v>
      </c>
      <c r="I293" s="1" t="s">
        <v>40</v>
      </c>
      <c r="J293" s="1" t="s">
        <v>41</v>
      </c>
      <c r="K293" s="1" t="s">
        <v>63</v>
      </c>
      <c r="L293" s="1" t="s">
        <v>39</v>
      </c>
      <c r="M293" s="1" t="s">
        <v>39</v>
      </c>
      <c r="O293">
        <v>756756</v>
      </c>
      <c r="P293">
        <v>1625943</v>
      </c>
      <c r="Q293" t="s">
        <v>1319</v>
      </c>
      <c r="R293" t="s">
        <v>1320</v>
      </c>
      <c r="T293" t="s">
        <v>1259</v>
      </c>
      <c r="U293">
        <v>4300</v>
      </c>
      <c r="V293" s="8">
        <f>G293+U293</f>
        <v>0</v>
      </c>
      <c r="W293">
        <v>0</v>
      </c>
      <c r="X293">
        <v>15</v>
      </c>
      <c r="Y293">
        <v>0</v>
      </c>
      <c r="Z293">
        <v>0</v>
      </c>
      <c r="AA293">
        <v>0</v>
      </c>
      <c r="AB293">
        <v>27.77</v>
      </c>
      <c r="AC293" s="4">
        <v>46267</v>
      </c>
      <c r="AD293" t="s">
        <v>2322</v>
      </c>
      <c r="AE293" t="s">
        <v>60</v>
      </c>
      <c r="AI293" t="s">
        <v>1261</v>
      </c>
      <c r="AJ293" t="s">
        <v>1262</v>
      </c>
      <c r="AK293">
        <v>3564672</v>
      </c>
      <c r="AM293" t="s">
        <v>1263</v>
      </c>
      <c r="AN293" t="s">
        <v>2323</v>
      </c>
      <c r="AO293" t="s">
        <v>2323</v>
      </c>
      <c r="AP293" s="5">
        <v>46267.92291666667</v>
      </c>
      <c r="AQ293" t="s">
        <v>1266</v>
      </c>
      <c r="AR293" t="s">
        <v>1293</v>
      </c>
      <c r="AS293" t="s">
        <v>1268</v>
      </c>
      <c r="AT293" t="s">
        <v>1269</v>
      </c>
      <c r="AU293" t="s">
        <v>1270</v>
      </c>
    </row>
    <row r="294" spans="1:47" x14ac:dyDescent="0.25">
      <c r="A294" s="1" t="s">
        <v>145</v>
      </c>
      <c r="B294" s="1" t="s">
        <v>146</v>
      </c>
      <c r="C294" s="1" t="s">
        <v>146</v>
      </c>
      <c r="D294" s="1" t="s">
        <v>147</v>
      </c>
      <c r="E294" s="1" t="s">
        <v>38</v>
      </c>
      <c r="F294" s="1" t="s">
        <v>39</v>
      </c>
      <c r="G294" s="2">
        <v>-27800</v>
      </c>
      <c r="H294" s="2">
        <v>8489340.6400000006</v>
      </c>
      <c r="I294" s="1" t="s">
        <v>40</v>
      </c>
      <c r="J294" s="1" t="s">
        <v>49</v>
      </c>
      <c r="K294" s="1" t="s">
        <v>143</v>
      </c>
      <c r="L294" s="1" t="s">
        <v>39</v>
      </c>
      <c r="M294" s="1" t="s">
        <v>148</v>
      </c>
      <c r="P294">
        <v>12181</v>
      </c>
      <c r="Q294" t="s">
        <v>2244</v>
      </c>
      <c r="R294" t="s">
        <v>1257</v>
      </c>
      <c r="S294" t="s">
        <v>1258</v>
      </c>
      <c r="T294" t="s">
        <v>1259</v>
      </c>
      <c r="U294">
        <v>27800</v>
      </c>
      <c r="V294" s="8">
        <f>G294+U294</f>
        <v>0</v>
      </c>
      <c r="W294">
        <v>0</v>
      </c>
      <c r="X294">
        <v>92</v>
      </c>
      <c r="Y294">
        <v>0</v>
      </c>
      <c r="Z294">
        <v>1</v>
      </c>
      <c r="AA294">
        <v>0</v>
      </c>
      <c r="AB294">
        <v>96368.5</v>
      </c>
      <c r="AC294" s="4">
        <v>46267</v>
      </c>
      <c r="AD294" t="s">
        <v>2249</v>
      </c>
      <c r="AE294" t="s">
        <v>145</v>
      </c>
      <c r="AH294" t="s">
        <v>2246</v>
      </c>
      <c r="AI294" t="s">
        <v>1261</v>
      </c>
      <c r="AJ294" t="s">
        <v>1262</v>
      </c>
      <c r="AK294">
        <v>444174</v>
      </c>
      <c r="AL294" t="s">
        <v>2246</v>
      </c>
      <c r="AM294" t="s">
        <v>1263</v>
      </c>
      <c r="AN294" t="s">
        <v>2250</v>
      </c>
      <c r="AO294" t="s">
        <v>2251</v>
      </c>
      <c r="AP294" s="5">
        <v>46267.875</v>
      </c>
      <c r="AQ294" t="s">
        <v>1266</v>
      </c>
      <c r="AR294" t="s">
        <v>1267</v>
      </c>
      <c r="AS294" t="s">
        <v>1268</v>
      </c>
      <c r="AT294" t="s">
        <v>1269</v>
      </c>
      <c r="AU294" t="s">
        <v>1270</v>
      </c>
    </row>
    <row r="295" spans="1:47" x14ac:dyDescent="0.25">
      <c r="A295" s="1" t="s">
        <v>124</v>
      </c>
      <c r="B295" s="1" t="s">
        <v>125</v>
      </c>
      <c r="C295" s="1" t="s">
        <v>125</v>
      </c>
      <c r="D295" s="1" t="s">
        <v>126</v>
      </c>
      <c r="E295" s="1" t="s">
        <v>38</v>
      </c>
      <c r="F295" s="1" t="s">
        <v>39</v>
      </c>
      <c r="G295" s="2">
        <v>-5150</v>
      </c>
      <c r="H295" s="2">
        <v>8453541.6400000006</v>
      </c>
      <c r="I295" s="1" t="s">
        <v>40</v>
      </c>
      <c r="J295" s="1" t="s">
        <v>41</v>
      </c>
      <c r="K295" s="1" t="s">
        <v>82</v>
      </c>
      <c r="L295" s="1" t="s">
        <v>39</v>
      </c>
      <c r="M295" s="1" t="s">
        <v>39</v>
      </c>
      <c r="P295">
        <v>80417</v>
      </c>
      <c r="Q295" t="s">
        <v>1535</v>
      </c>
      <c r="R295" t="s">
        <v>1272</v>
      </c>
      <c r="S295" t="s">
        <v>1258</v>
      </c>
      <c r="T295" t="s">
        <v>1259</v>
      </c>
      <c r="U295">
        <v>5150</v>
      </c>
      <c r="V295" s="8">
        <f>G295+U295</f>
        <v>0</v>
      </c>
      <c r="W295">
        <v>0</v>
      </c>
      <c r="X295">
        <v>15</v>
      </c>
      <c r="Y295">
        <v>0</v>
      </c>
      <c r="Z295">
        <v>1</v>
      </c>
      <c r="AA295">
        <v>0</v>
      </c>
      <c r="AB295">
        <v>23.454000000000001</v>
      </c>
      <c r="AC295" s="4">
        <v>46267</v>
      </c>
      <c r="AD295" t="s">
        <v>2266</v>
      </c>
      <c r="AE295" t="s">
        <v>124</v>
      </c>
      <c r="AI295" t="s">
        <v>1261</v>
      </c>
      <c r="AJ295" t="s">
        <v>1262</v>
      </c>
      <c r="AK295">
        <v>9246253</v>
      </c>
      <c r="AM295" t="s">
        <v>1263</v>
      </c>
      <c r="AN295" t="s">
        <v>2267</v>
      </c>
      <c r="AO295" t="s">
        <v>1275</v>
      </c>
      <c r="AP295" s="5">
        <v>46267.880555555559</v>
      </c>
      <c r="AQ295" t="s">
        <v>1266</v>
      </c>
      <c r="AS295" t="s">
        <v>1268</v>
      </c>
      <c r="AT295" t="s">
        <v>1269</v>
      </c>
      <c r="AU295" t="s">
        <v>1270</v>
      </c>
    </row>
    <row r="296" spans="1:47" x14ac:dyDescent="0.25">
      <c r="A296" s="1" t="s">
        <v>105</v>
      </c>
      <c r="B296" s="1" t="s">
        <v>106</v>
      </c>
      <c r="C296" s="1" t="s">
        <v>106</v>
      </c>
      <c r="D296" s="1" t="s">
        <v>107</v>
      </c>
      <c r="E296" s="1" t="s">
        <v>38</v>
      </c>
      <c r="F296" s="1" t="s">
        <v>39</v>
      </c>
      <c r="G296" s="2">
        <v>-12415</v>
      </c>
      <c r="H296" s="2">
        <v>8408896.6400000006</v>
      </c>
      <c r="I296" s="1" t="s">
        <v>40</v>
      </c>
      <c r="J296" s="1" t="s">
        <v>41</v>
      </c>
      <c r="K296" s="1" t="s">
        <v>108</v>
      </c>
      <c r="L296" s="1" t="s">
        <v>39</v>
      </c>
      <c r="M296" s="1" t="s">
        <v>39</v>
      </c>
      <c r="P296">
        <v>15115</v>
      </c>
      <c r="Q296" t="s">
        <v>2281</v>
      </c>
      <c r="R296" t="s">
        <v>1272</v>
      </c>
      <c r="S296" t="s">
        <v>1258</v>
      </c>
      <c r="T296" t="s">
        <v>1259</v>
      </c>
      <c r="U296">
        <v>12415</v>
      </c>
      <c r="V296" s="8">
        <f>G296+U296</f>
        <v>0</v>
      </c>
      <c r="W296">
        <v>0</v>
      </c>
      <c r="X296">
        <v>15</v>
      </c>
      <c r="Y296">
        <v>0</v>
      </c>
      <c r="Z296">
        <v>1</v>
      </c>
      <c r="AA296">
        <v>0</v>
      </c>
      <c r="AB296">
        <v>11231.103999999999</v>
      </c>
      <c r="AC296" s="4">
        <v>46267</v>
      </c>
      <c r="AD296" t="s">
        <v>2282</v>
      </c>
      <c r="AE296" t="s">
        <v>105</v>
      </c>
      <c r="AI296" t="s">
        <v>1261</v>
      </c>
      <c r="AJ296" t="s">
        <v>1262</v>
      </c>
      <c r="AK296">
        <v>968512</v>
      </c>
      <c r="AM296" t="s">
        <v>1263</v>
      </c>
      <c r="AN296" t="s">
        <v>2283</v>
      </c>
      <c r="AO296" t="s">
        <v>1309</v>
      </c>
      <c r="AP296" s="5">
        <v>46267.884027777778</v>
      </c>
      <c r="AQ296" t="s">
        <v>1266</v>
      </c>
      <c r="AS296" t="s">
        <v>1268</v>
      </c>
      <c r="AT296" t="s">
        <v>1269</v>
      </c>
      <c r="AU296" t="s">
        <v>1270</v>
      </c>
    </row>
    <row r="297" spans="1:47" x14ac:dyDescent="0.25">
      <c r="A297" s="1" t="s">
        <v>127</v>
      </c>
      <c r="B297" s="1" t="s">
        <v>128</v>
      </c>
      <c r="C297" s="1" t="s">
        <v>128</v>
      </c>
      <c r="D297" s="1" t="s">
        <v>129</v>
      </c>
      <c r="E297" s="1" t="s">
        <v>38</v>
      </c>
      <c r="F297" s="1" t="s">
        <v>39</v>
      </c>
      <c r="G297" s="2">
        <v>-12000</v>
      </c>
      <c r="H297" s="2">
        <v>8458754.6400000006</v>
      </c>
      <c r="I297" s="1" t="s">
        <v>40</v>
      </c>
      <c r="J297" s="1" t="s">
        <v>41</v>
      </c>
      <c r="K297" s="1" t="s">
        <v>130</v>
      </c>
      <c r="L297" s="1" t="s">
        <v>39</v>
      </c>
      <c r="M297" s="1" t="s">
        <v>39</v>
      </c>
      <c r="P297">
        <v>15111</v>
      </c>
      <c r="Q297" t="s">
        <v>1315</v>
      </c>
      <c r="R297" t="s">
        <v>1272</v>
      </c>
      <c r="S297" t="s">
        <v>1258</v>
      </c>
      <c r="T297" t="s">
        <v>1259</v>
      </c>
      <c r="U297">
        <v>12000</v>
      </c>
      <c r="V297" s="8">
        <f>G297+U297</f>
        <v>0</v>
      </c>
      <c r="W297">
        <v>0</v>
      </c>
      <c r="X297">
        <v>15</v>
      </c>
      <c r="Y297">
        <v>0</v>
      </c>
      <c r="Z297">
        <v>1</v>
      </c>
      <c r="AA297">
        <v>0</v>
      </c>
      <c r="AB297">
        <v>8798.9979999999996</v>
      </c>
      <c r="AC297" s="4">
        <v>46267</v>
      </c>
      <c r="AD297" t="s">
        <v>2264</v>
      </c>
      <c r="AE297" t="s">
        <v>127</v>
      </c>
      <c r="AI297" t="s">
        <v>1261</v>
      </c>
      <c r="AJ297" t="s">
        <v>1262</v>
      </c>
      <c r="AK297">
        <v>9926197</v>
      </c>
      <c r="AM297" t="s">
        <v>1263</v>
      </c>
      <c r="AN297" t="s">
        <v>2265</v>
      </c>
      <c r="AO297" t="s">
        <v>1318</v>
      </c>
      <c r="AP297" s="5">
        <v>46267.879861111112</v>
      </c>
      <c r="AQ297" t="s">
        <v>1266</v>
      </c>
      <c r="AS297" t="s">
        <v>1268</v>
      </c>
      <c r="AT297" t="s">
        <v>1269</v>
      </c>
      <c r="AU297" t="s">
        <v>1270</v>
      </c>
    </row>
    <row r="298" spans="1:47" x14ac:dyDescent="0.25">
      <c r="A298" s="1" t="s">
        <v>120</v>
      </c>
      <c r="B298" s="1" t="s">
        <v>121</v>
      </c>
      <c r="C298" s="1" t="s">
        <v>122</v>
      </c>
      <c r="D298" s="1" t="s">
        <v>123</v>
      </c>
      <c r="E298" s="1" t="s">
        <v>38</v>
      </c>
      <c r="F298" s="1" t="s">
        <v>39</v>
      </c>
      <c r="G298" s="2">
        <v>-6300</v>
      </c>
      <c r="H298" s="2">
        <v>8447193.6400000006</v>
      </c>
      <c r="I298" s="1" t="s">
        <v>40</v>
      </c>
      <c r="J298" s="1" t="s">
        <v>41</v>
      </c>
      <c r="K298" s="1" t="s">
        <v>104</v>
      </c>
      <c r="L298" s="1" t="s">
        <v>39</v>
      </c>
      <c r="M298" s="1" t="s">
        <v>39</v>
      </c>
      <c r="P298">
        <v>77486</v>
      </c>
      <c r="Q298" t="s">
        <v>2268</v>
      </c>
      <c r="R298" t="s">
        <v>1272</v>
      </c>
      <c r="S298" t="s">
        <v>1258</v>
      </c>
      <c r="T298" t="s">
        <v>1259</v>
      </c>
      <c r="U298">
        <v>6300</v>
      </c>
      <c r="V298" s="8">
        <f>G298+U298</f>
        <v>0</v>
      </c>
      <c r="W298">
        <v>0</v>
      </c>
      <c r="X298">
        <v>15</v>
      </c>
      <c r="Y298">
        <v>0</v>
      </c>
      <c r="Z298">
        <v>1</v>
      </c>
      <c r="AA298">
        <v>0</v>
      </c>
      <c r="AB298">
        <v>20.276</v>
      </c>
      <c r="AC298" s="4">
        <v>46267</v>
      </c>
      <c r="AD298" t="s">
        <v>2269</v>
      </c>
      <c r="AE298" t="s">
        <v>120</v>
      </c>
      <c r="AI298" t="s">
        <v>1261</v>
      </c>
      <c r="AJ298" t="s">
        <v>1262</v>
      </c>
      <c r="AK298">
        <v>821697</v>
      </c>
      <c r="AM298" t="s">
        <v>1263</v>
      </c>
      <c r="AN298" t="s">
        <v>2270</v>
      </c>
      <c r="AO298" t="s">
        <v>1275</v>
      </c>
      <c r="AP298" s="5">
        <v>46267.881249999999</v>
      </c>
      <c r="AQ298" t="s">
        <v>1266</v>
      </c>
      <c r="AS298" t="s">
        <v>1268</v>
      </c>
      <c r="AT298" t="s">
        <v>1269</v>
      </c>
      <c r="AU298" t="s">
        <v>1270</v>
      </c>
    </row>
    <row r="299" spans="1:47" x14ac:dyDescent="0.25">
      <c r="A299" s="1" t="s">
        <v>79</v>
      </c>
      <c r="B299" s="1" t="s">
        <v>80</v>
      </c>
      <c r="C299" s="1" t="s">
        <v>80</v>
      </c>
      <c r="D299" s="1" t="s">
        <v>81</v>
      </c>
      <c r="E299" s="1" t="s">
        <v>38</v>
      </c>
      <c r="F299" s="1" t="s">
        <v>39</v>
      </c>
      <c r="G299" s="2">
        <v>-5550</v>
      </c>
      <c r="H299" s="2">
        <v>8376269.6399999997</v>
      </c>
      <c r="I299" s="1" t="s">
        <v>40</v>
      </c>
      <c r="J299" s="1" t="s">
        <v>41</v>
      </c>
      <c r="K299" s="1" t="s">
        <v>82</v>
      </c>
      <c r="L299" s="1" t="s">
        <v>39</v>
      </c>
      <c r="M299" s="1" t="s">
        <v>39</v>
      </c>
      <c r="P299">
        <v>77483</v>
      </c>
      <c r="Q299" t="s">
        <v>2307</v>
      </c>
      <c r="R299" t="s">
        <v>1272</v>
      </c>
      <c r="S299" t="s">
        <v>1258</v>
      </c>
      <c r="T299" t="s">
        <v>1259</v>
      </c>
      <c r="U299">
        <v>5550</v>
      </c>
      <c r="V299" s="8">
        <f>G299+U299</f>
        <v>0</v>
      </c>
      <c r="W299">
        <v>0</v>
      </c>
      <c r="X299">
        <v>15</v>
      </c>
      <c r="Y299">
        <v>0</v>
      </c>
      <c r="Z299">
        <v>1</v>
      </c>
      <c r="AA299">
        <v>0</v>
      </c>
      <c r="AB299">
        <v>4.1280000000000001</v>
      </c>
      <c r="AC299" s="4">
        <v>46267</v>
      </c>
      <c r="AD299" t="s">
        <v>2308</v>
      </c>
      <c r="AE299" t="s">
        <v>79</v>
      </c>
      <c r="AI299" t="s">
        <v>1261</v>
      </c>
      <c r="AJ299" t="s">
        <v>1262</v>
      </c>
      <c r="AK299">
        <v>9246253</v>
      </c>
      <c r="AM299" t="s">
        <v>1263</v>
      </c>
      <c r="AN299" t="s">
        <v>2309</v>
      </c>
      <c r="AO299" t="s">
        <v>1275</v>
      </c>
      <c r="AP299" s="5">
        <v>46267.907638888886</v>
      </c>
      <c r="AQ299" t="s">
        <v>1266</v>
      </c>
      <c r="AS299" t="s">
        <v>1268</v>
      </c>
      <c r="AT299" t="s">
        <v>1269</v>
      </c>
      <c r="AU299" t="s">
        <v>1270</v>
      </c>
    </row>
    <row r="300" spans="1:47" x14ac:dyDescent="0.25">
      <c r="A300" s="1" t="s">
        <v>57</v>
      </c>
      <c r="B300" s="1" t="s">
        <v>58</v>
      </c>
      <c r="C300" s="1" t="s">
        <v>58</v>
      </c>
      <c r="D300" s="1" t="s">
        <v>59</v>
      </c>
      <c r="E300" s="1" t="s">
        <v>38</v>
      </c>
      <c r="F300" s="1" t="s">
        <v>39</v>
      </c>
      <c r="G300" s="2">
        <v>-5000</v>
      </c>
      <c r="H300" s="2">
        <v>8348692.6399999997</v>
      </c>
      <c r="I300" s="1" t="s">
        <v>40</v>
      </c>
      <c r="J300" s="1" t="s">
        <v>41</v>
      </c>
      <c r="K300" s="1" t="s">
        <v>56</v>
      </c>
      <c r="L300" s="1" t="s">
        <v>39</v>
      </c>
      <c r="M300" s="1" t="s">
        <v>39</v>
      </c>
      <c r="P300">
        <v>15111</v>
      </c>
      <c r="Q300" t="s">
        <v>1315</v>
      </c>
      <c r="R300" t="s">
        <v>1272</v>
      </c>
      <c r="S300" t="s">
        <v>1258</v>
      </c>
      <c r="T300" t="s">
        <v>1259</v>
      </c>
      <c r="U300">
        <v>5000</v>
      </c>
      <c r="V300" s="8">
        <f>G300+U300</f>
        <v>0</v>
      </c>
      <c r="W300">
        <v>0</v>
      </c>
      <c r="X300">
        <v>15</v>
      </c>
      <c r="Y300">
        <v>0</v>
      </c>
      <c r="Z300">
        <v>1</v>
      </c>
      <c r="AA300">
        <v>0</v>
      </c>
      <c r="AB300">
        <v>4042.4780000000001</v>
      </c>
      <c r="AC300" s="4">
        <v>46267</v>
      </c>
      <c r="AD300" t="s">
        <v>2324</v>
      </c>
      <c r="AE300" t="s">
        <v>57</v>
      </c>
      <c r="AI300" t="s">
        <v>1261</v>
      </c>
      <c r="AJ300" t="s">
        <v>1262</v>
      </c>
      <c r="AK300">
        <v>871046</v>
      </c>
      <c r="AM300" t="s">
        <v>1263</v>
      </c>
      <c r="AN300" t="s">
        <v>2325</v>
      </c>
      <c r="AO300" t="s">
        <v>1309</v>
      </c>
      <c r="AP300" s="5">
        <v>46267.923611111109</v>
      </c>
      <c r="AQ300" t="s">
        <v>1266</v>
      </c>
      <c r="AS300" t="s">
        <v>1268</v>
      </c>
      <c r="AT300" t="s">
        <v>1269</v>
      </c>
      <c r="AU300" t="s">
        <v>1270</v>
      </c>
    </row>
    <row r="301" spans="1:47" x14ac:dyDescent="0.25">
      <c r="A301" s="1" t="s">
        <v>74</v>
      </c>
      <c r="B301" s="1" t="s">
        <v>75</v>
      </c>
      <c r="C301" s="1" t="s">
        <v>75</v>
      </c>
      <c r="D301" s="1" t="s">
        <v>76</v>
      </c>
      <c r="E301" s="1" t="s">
        <v>38</v>
      </c>
      <c r="F301" s="1" t="s">
        <v>39</v>
      </c>
      <c r="G301" s="2">
        <v>-150</v>
      </c>
      <c r="H301" s="2">
        <v>8376071.6399999997</v>
      </c>
      <c r="I301" s="1" t="s">
        <v>40</v>
      </c>
      <c r="J301" s="1" t="s">
        <v>49</v>
      </c>
      <c r="K301" s="1" t="s">
        <v>77</v>
      </c>
      <c r="L301" s="1" t="s">
        <v>39</v>
      </c>
      <c r="M301" s="1" t="s">
        <v>78</v>
      </c>
      <c r="O301">
        <v>756756</v>
      </c>
      <c r="P301">
        <v>254708321784</v>
      </c>
      <c r="Q301" t="s">
        <v>2310</v>
      </c>
      <c r="R301" t="s">
        <v>1386</v>
      </c>
      <c r="T301" t="s">
        <v>1259</v>
      </c>
      <c r="U301">
        <v>150</v>
      </c>
      <c r="V301" s="8">
        <f>G301+U301</f>
        <v>0</v>
      </c>
      <c r="W301">
        <v>0</v>
      </c>
      <c r="X301">
        <v>10</v>
      </c>
      <c r="Y301">
        <v>0</v>
      </c>
      <c r="Z301">
        <v>0</v>
      </c>
      <c r="AA301">
        <v>0</v>
      </c>
      <c r="AB301">
        <v>67520</v>
      </c>
      <c r="AC301" s="4">
        <v>46267</v>
      </c>
      <c r="AD301" t="s">
        <v>2311</v>
      </c>
      <c r="AE301" t="s">
        <v>74</v>
      </c>
      <c r="AH301" t="s">
        <v>1604</v>
      </c>
      <c r="AI301" t="s">
        <v>1261</v>
      </c>
      <c r="AJ301" t="s">
        <v>1262</v>
      </c>
      <c r="AK301">
        <v>880100</v>
      </c>
      <c r="AL301" t="s">
        <v>1604</v>
      </c>
      <c r="AM301" t="s">
        <v>1263</v>
      </c>
      <c r="AN301" t="s">
        <v>2312</v>
      </c>
      <c r="AO301">
        <v>999810</v>
      </c>
      <c r="AP301" s="5">
        <v>46267.915277777778</v>
      </c>
      <c r="AQ301" t="s">
        <v>1266</v>
      </c>
      <c r="AR301" t="s">
        <v>1293</v>
      </c>
      <c r="AS301" t="s">
        <v>1268</v>
      </c>
      <c r="AT301" t="s">
        <v>1269</v>
      </c>
      <c r="AU301" t="s">
        <v>1270</v>
      </c>
    </row>
    <row r="302" spans="1:47" x14ac:dyDescent="0.25">
      <c r="A302" s="1" t="s">
        <v>70</v>
      </c>
      <c r="B302" s="1" t="s">
        <v>71</v>
      </c>
      <c r="C302" s="1" t="s">
        <v>71</v>
      </c>
      <c r="D302" s="1" t="s">
        <v>72</v>
      </c>
      <c r="E302" s="1" t="s">
        <v>38</v>
      </c>
      <c r="F302" s="1" t="s">
        <v>39</v>
      </c>
      <c r="G302" s="2">
        <v>-7900</v>
      </c>
      <c r="H302" s="2">
        <v>8368163.6399999997</v>
      </c>
      <c r="I302" s="1" t="s">
        <v>40</v>
      </c>
      <c r="J302" s="1" t="s">
        <v>41</v>
      </c>
      <c r="K302" s="1" t="s">
        <v>73</v>
      </c>
      <c r="L302" s="1" t="s">
        <v>39</v>
      </c>
      <c r="M302" s="1" t="s">
        <v>39</v>
      </c>
      <c r="P302">
        <v>17941</v>
      </c>
      <c r="Q302" t="s">
        <v>2313</v>
      </c>
      <c r="R302" t="s">
        <v>1272</v>
      </c>
      <c r="S302" t="s">
        <v>1258</v>
      </c>
      <c r="T302" t="s">
        <v>1259</v>
      </c>
      <c r="U302">
        <v>7900</v>
      </c>
      <c r="V302" s="8">
        <f>G302+U302</f>
        <v>0</v>
      </c>
      <c r="W302">
        <v>0</v>
      </c>
      <c r="X302">
        <v>15</v>
      </c>
      <c r="Y302">
        <v>0</v>
      </c>
      <c r="Z302">
        <v>1</v>
      </c>
      <c r="AA302">
        <v>0</v>
      </c>
      <c r="AB302">
        <v>79.58</v>
      </c>
      <c r="AC302" s="4">
        <v>46267</v>
      </c>
      <c r="AD302" t="s">
        <v>2314</v>
      </c>
      <c r="AE302" t="s">
        <v>70</v>
      </c>
      <c r="AI302" t="s">
        <v>1261</v>
      </c>
      <c r="AJ302" t="s">
        <v>1262</v>
      </c>
      <c r="AK302">
        <v>4906008</v>
      </c>
      <c r="AM302" t="s">
        <v>1263</v>
      </c>
      <c r="AN302" t="s">
        <v>2315</v>
      </c>
      <c r="AO302" t="s">
        <v>2315</v>
      </c>
      <c r="AP302" s="5">
        <v>46267.920138888891</v>
      </c>
      <c r="AQ302" t="s">
        <v>1266</v>
      </c>
      <c r="AR302" t="s">
        <v>1531</v>
      </c>
      <c r="AS302" t="s">
        <v>1268</v>
      </c>
      <c r="AT302" t="s">
        <v>1269</v>
      </c>
      <c r="AU302" t="s">
        <v>1270</v>
      </c>
    </row>
    <row r="303" spans="1:47" x14ac:dyDescent="0.25">
      <c r="A303" s="1" t="s">
        <v>64</v>
      </c>
      <c r="B303" s="1" t="s">
        <v>65</v>
      </c>
      <c r="C303" s="1" t="s">
        <v>65</v>
      </c>
      <c r="D303" s="1" t="s">
        <v>66</v>
      </c>
      <c r="E303" s="1" t="s">
        <v>38</v>
      </c>
      <c r="F303" s="1" t="s">
        <v>39</v>
      </c>
      <c r="G303" s="2">
        <v>-5000</v>
      </c>
      <c r="H303" s="2">
        <v>8358070.6399999997</v>
      </c>
      <c r="I303" s="1" t="s">
        <v>40</v>
      </c>
      <c r="J303" s="1" t="s">
        <v>41</v>
      </c>
      <c r="K303" s="1" t="s">
        <v>56</v>
      </c>
      <c r="L303" s="1" t="s">
        <v>39</v>
      </c>
      <c r="M303" s="1" t="s">
        <v>39</v>
      </c>
      <c r="P303">
        <v>15112</v>
      </c>
      <c r="Q303" t="s">
        <v>2319</v>
      </c>
      <c r="R303" t="s">
        <v>1272</v>
      </c>
      <c r="S303" t="s">
        <v>1258</v>
      </c>
      <c r="T303" t="s">
        <v>1259</v>
      </c>
      <c r="U303">
        <v>5000</v>
      </c>
      <c r="V303" s="8">
        <f>G303+U303</f>
        <v>0</v>
      </c>
      <c r="W303">
        <v>0</v>
      </c>
      <c r="X303">
        <v>15</v>
      </c>
      <c r="Y303">
        <v>0</v>
      </c>
      <c r="Z303">
        <v>1</v>
      </c>
      <c r="AA303">
        <v>0</v>
      </c>
      <c r="AB303">
        <v>142487.568</v>
      </c>
      <c r="AC303" s="4">
        <v>46267</v>
      </c>
      <c r="AD303" t="s">
        <v>2320</v>
      </c>
      <c r="AE303" t="s">
        <v>64</v>
      </c>
      <c r="AI303" t="s">
        <v>1261</v>
      </c>
      <c r="AJ303" t="s">
        <v>1262</v>
      </c>
      <c r="AK303">
        <v>871046</v>
      </c>
      <c r="AM303" t="s">
        <v>1263</v>
      </c>
      <c r="AN303" t="s">
        <v>2321</v>
      </c>
      <c r="AO303" t="s">
        <v>1309</v>
      </c>
      <c r="AP303" s="5">
        <v>46267.921527777777</v>
      </c>
      <c r="AQ303" t="s">
        <v>1266</v>
      </c>
      <c r="AS303" t="s">
        <v>1268</v>
      </c>
      <c r="AT303" t="s">
        <v>1269</v>
      </c>
      <c r="AU303" t="s">
        <v>1270</v>
      </c>
    </row>
    <row r="304" spans="1:47" x14ac:dyDescent="0.25">
      <c r="A304" s="1" t="s">
        <v>53</v>
      </c>
      <c r="B304" s="1" t="s">
        <v>54</v>
      </c>
      <c r="C304" s="1" t="s">
        <v>54</v>
      </c>
      <c r="D304" s="1" t="s">
        <v>55</v>
      </c>
      <c r="E304" s="1" t="s">
        <v>38</v>
      </c>
      <c r="F304" s="1" t="s">
        <v>39</v>
      </c>
      <c r="G304" s="2">
        <v>-5000</v>
      </c>
      <c r="H304" s="2">
        <v>8343653.6399999997</v>
      </c>
      <c r="I304" s="1" t="s">
        <v>40</v>
      </c>
      <c r="J304" s="1" t="s">
        <v>41</v>
      </c>
      <c r="K304" s="1" t="s">
        <v>56</v>
      </c>
      <c r="L304" s="1" t="s">
        <v>39</v>
      </c>
      <c r="M304" s="1" t="s">
        <v>39</v>
      </c>
      <c r="P304">
        <v>15115</v>
      </c>
      <c r="Q304" t="s">
        <v>2281</v>
      </c>
      <c r="R304" t="s">
        <v>1272</v>
      </c>
      <c r="S304" t="s">
        <v>1258</v>
      </c>
      <c r="T304" t="s">
        <v>1259</v>
      </c>
      <c r="U304">
        <v>5000</v>
      </c>
      <c r="V304" s="8">
        <f>G304+U304</f>
        <v>0</v>
      </c>
      <c r="W304">
        <v>0</v>
      </c>
      <c r="X304">
        <v>15</v>
      </c>
      <c r="Y304">
        <v>0</v>
      </c>
      <c r="Z304">
        <v>1</v>
      </c>
      <c r="AA304">
        <v>0</v>
      </c>
      <c r="AB304">
        <v>6215.1040000000003</v>
      </c>
      <c r="AC304" s="4">
        <v>46267</v>
      </c>
      <c r="AD304" t="s">
        <v>2326</v>
      </c>
      <c r="AE304" t="s">
        <v>53</v>
      </c>
      <c r="AI304" t="s">
        <v>1261</v>
      </c>
      <c r="AJ304" t="s">
        <v>1262</v>
      </c>
      <c r="AK304">
        <v>871046</v>
      </c>
      <c r="AM304" t="s">
        <v>1263</v>
      </c>
      <c r="AN304" t="s">
        <v>2327</v>
      </c>
      <c r="AO304" t="s">
        <v>1309</v>
      </c>
      <c r="AP304" s="5">
        <v>46267.924305555556</v>
      </c>
      <c r="AQ304" t="s">
        <v>1266</v>
      </c>
      <c r="AS304" t="s">
        <v>1268</v>
      </c>
      <c r="AT304" t="s">
        <v>1269</v>
      </c>
      <c r="AU304" t="s">
        <v>1270</v>
      </c>
    </row>
    <row r="305" spans="1:47" x14ac:dyDescent="0.25">
      <c r="A305" s="1" t="s">
        <v>67</v>
      </c>
      <c r="B305" s="1" t="s">
        <v>68</v>
      </c>
      <c r="C305" s="1" t="s">
        <v>68</v>
      </c>
      <c r="D305" s="1" t="s">
        <v>69</v>
      </c>
      <c r="E305" s="1" t="s">
        <v>38</v>
      </c>
      <c r="F305" s="1" t="s">
        <v>39</v>
      </c>
      <c r="G305" s="2">
        <v>-5000</v>
      </c>
      <c r="H305" s="2">
        <v>8363109.6399999997</v>
      </c>
      <c r="I305" s="1" t="s">
        <v>40</v>
      </c>
      <c r="J305" s="1" t="s">
        <v>41</v>
      </c>
      <c r="K305" s="1" t="s">
        <v>56</v>
      </c>
      <c r="L305" s="1" t="s">
        <v>39</v>
      </c>
      <c r="M305" s="1" t="s">
        <v>39</v>
      </c>
      <c r="P305">
        <v>15109</v>
      </c>
      <c r="Q305" t="s">
        <v>2316</v>
      </c>
      <c r="R305" t="s">
        <v>1272</v>
      </c>
      <c r="S305" t="s">
        <v>1258</v>
      </c>
      <c r="T305" t="s">
        <v>1259</v>
      </c>
      <c r="U305">
        <v>5000</v>
      </c>
      <c r="V305" s="8">
        <f>G305+U305</f>
        <v>0</v>
      </c>
      <c r="W305">
        <v>0</v>
      </c>
      <c r="X305">
        <v>15</v>
      </c>
      <c r="Y305">
        <v>0</v>
      </c>
      <c r="Z305">
        <v>1</v>
      </c>
      <c r="AA305">
        <v>0</v>
      </c>
      <c r="AB305">
        <v>33095.697999999997</v>
      </c>
      <c r="AC305" s="4">
        <v>46267</v>
      </c>
      <c r="AD305" t="s">
        <v>2317</v>
      </c>
      <c r="AE305" t="s">
        <v>67</v>
      </c>
      <c r="AI305" t="s">
        <v>1261</v>
      </c>
      <c r="AJ305" t="s">
        <v>1262</v>
      </c>
      <c r="AK305">
        <v>871046</v>
      </c>
      <c r="AM305" t="s">
        <v>1263</v>
      </c>
      <c r="AN305" t="s">
        <v>2318</v>
      </c>
      <c r="AO305" t="s">
        <v>1309</v>
      </c>
      <c r="AP305" s="5">
        <v>46267.92083333333</v>
      </c>
      <c r="AQ305" t="s">
        <v>1266</v>
      </c>
      <c r="AS305" t="s">
        <v>1268</v>
      </c>
      <c r="AT305" t="s">
        <v>1269</v>
      </c>
      <c r="AU305" t="s">
        <v>1270</v>
      </c>
    </row>
    <row r="306" spans="1:47" x14ac:dyDescent="0.25">
      <c r="A306" s="1" t="s">
        <v>46</v>
      </c>
      <c r="B306" s="1" t="s">
        <v>47</v>
      </c>
      <c r="C306" s="1" t="s">
        <v>47</v>
      </c>
      <c r="D306" s="1" t="s">
        <v>50</v>
      </c>
      <c r="E306" s="1" t="s">
        <v>38</v>
      </c>
      <c r="F306" s="1" t="s">
        <v>39</v>
      </c>
      <c r="G306" s="2">
        <v>-750</v>
      </c>
      <c r="H306" s="2">
        <v>8342864.6399999997</v>
      </c>
      <c r="I306" s="1" t="s">
        <v>40</v>
      </c>
      <c r="J306" s="1" t="s">
        <v>49</v>
      </c>
      <c r="K306" s="1" t="s">
        <v>51</v>
      </c>
      <c r="L306" s="1" t="s">
        <v>39</v>
      </c>
      <c r="M306" s="1" t="s">
        <v>52</v>
      </c>
      <c r="O306">
        <v>756756</v>
      </c>
      <c r="P306">
        <v>254710239694</v>
      </c>
      <c r="Q306" t="s">
        <v>2328</v>
      </c>
      <c r="R306" t="s">
        <v>1286</v>
      </c>
      <c r="T306" t="s">
        <v>1259</v>
      </c>
      <c r="U306">
        <v>750</v>
      </c>
      <c r="V306" s="8">
        <f>G306+U306</f>
        <v>0</v>
      </c>
      <c r="W306">
        <v>0</v>
      </c>
      <c r="X306">
        <v>20</v>
      </c>
      <c r="Y306">
        <v>0</v>
      </c>
      <c r="Z306">
        <v>0</v>
      </c>
      <c r="AA306">
        <v>0</v>
      </c>
      <c r="AB306">
        <v>1142</v>
      </c>
      <c r="AC306" s="4">
        <v>46267</v>
      </c>
      <c r="AD306" t="s">
        <v>2329</v>
      </c>
      <c r="AE306" t="s">
        <v>46</v>
      </c>
      <c r="AH306" t="s">
        <v>1334</v>
      </c>
      <c r="AI306" t="s">
        <v>1261</v>
      </c>
      <c r="AJ306" t="s">
        <v>1262</v>
      </c>
      <c r="AK306">
        <v>714888</v>
      </c>
      <c r="AL306" t="s">
        <v>1334</v>
      </c>
      <c r="AM306" t="s">
        <v>1263</v>
      </c>
      <c r="AN306" t="s">
        <v>2330</v>
      </c>
      <c r="AO306">
        <v>323989</v>
      </c>
      <c r="AP306" s="5">
        <v>46267.924305555556</v>
      </c>
      <c r="AQ306" t="s">
        <v>1266</v>
      </c>
      <c r="AR306" t="s">
        <v>1293</v>
      </c>
      <c r="AS306" t="s">
        <v>1268</v>
      </c>
      <c r="AT306" t="s">
        <v>1269</v>
      </c>
      <c r="AU306" t="s">
        <v>1270</v>
      </c>
    </row>
    <row r="307" spans="1:47" x14ac:dyDescent="0.25">
      <c r="A307" s="1" t="s">
        <v>35</v>
      </c>
      <c r="B307" s="1" t="s">
        <v>36</v>
      </c>
      <c r="C307" s="1" t="s">
        <v>36</v>
      </c>
      <c r="D307" s="1" t="s">
        <v>44</v>
      </c>
      <c r="E307" s="1" t="s">
        <v>38</v>
      </c>
      <c r="F307" s="1" t="s">
        <v>39</v>
      </c>
      <c r="G307" s="2">
        <v>-1450</v>
      </c>
      <c r="H307" s="2">
        <v>8341401.6399999997</v>
      </c>
      <c r="I307" s="1" t="s">
        <v>40</v>
      </c>
      <c r="J307" s="1" t="s">
        <v>41</v>
      </c>
      <c r="K307" s="1" t="s">
        <v>45</v>
      </c>
      <c r="L307" s="1" t="s">
        <v>39</v>
      </c>
      <c r="M307" s="1" t="s">
        <v>39</v>
      </c>
      <c r="O307">
        <v>756756</v>
      </c>
      <c r="P307">
        <v>254723836614</v>
      </c>
      <c r="Q307" t="s">
        <v>2335</v>
      </c>
      <c r="R307" t="s">
        <v>1286</v>
      </c>
      <c r="T307" t="s">
        <v>1259</v>
      </c>
      <c r="U307">
        <v>1450</v>
      </c>
      <c r="V307" s="8">
        <f>G307+U307</f>
        <v>0</v>
      </c>
      <c r="W307">
        <v>0</v>
      </c>
      <c r="X307">
        <v>10</v>
      </c>
      <c r="Y307">
        <v>0</v>
      </c>
      <c r="Z307">
        <v>0</v>
      </c>
      <c r="AA307">
        <v>0</v>
      </c>
      <c r="AB307">
        <v>111</v>
      </c>
      <c r="AC307" s="4">
        <v>46267</v>
      </c>
      <c r="AD307" t="s">
        <v>2336</v>
      </c>
      <c r="AE307" t="s">
        <v>35</v>
      </c>
      <c r="AI307" t="s">
        <v>1261</v>
      </c>
      <c r="AJ307" t="s">
        <v>1262</v>
      </c>
      <c r="AK307">
        <v>727654</v>
      </c>
      <c r="AM307" t="s">
        <v>1263</v>
      </c>
      <c r="AN307" t="s">
        <v>2337</v>
      </c>
      <c r="AO307" t="s">
        <v>2337</v>
      </c>
      <c r="AP307" s="5">
        <v>46267.982638888891</v>
      </c>
      <c r="AQ307" t="s">
        <v>1266</v>
      </c>
      <c r="AR307" t="s">
        <v>1293</v>
      </c>
      <c r="AS307" t="s">
        <v>1268</v>
      </c>
      <c r="AT307" t="s">
        <v>1269</v>
      </c>
      <c r="AU307" t="s">
        <v>1270</v>
      </c>
    </row>
    <row r="308" spans="1:47" x14ac:dyDescent="0.25">
      <c r="A308" s="1" t="s">
        <v>439</v>
      </c>
      <c r="B308" s="1" t="s">
        <v>440</v>
      </c>
      <c r="C308" s="1" t="s">
        <v>440</v>
      </c>
      <c r="D308" s="1" t="s">
        <v>441</v>
      </c>
      <c r="E308" s="1" t="s">
        <v>38</v>
      </c>
      <c r="F308" s="1" t="s">
        <v>39</v>
      </c>
      <c r="G308" s="2">
        <v>-25475</v>
      </c>
      <c r="H308" s="2">
        <v>4142079.64</v>
      </c>
      <c r="I308" s="1" t="s">
        <v>40</v>
      </c>
      <c r="J308" s="1" t="s">
        <v>49</v>
      </c>
      <c r="K308" s="1" t="s">
        <v>283</v>
      </c>
      <c r="L308" s="1" t="s">
        <v>39</v>
      </c>
      <c r="M308" s="1" t="s">
        <v>442</v>
      </c>
      <c r="O308">
        <v>395390</v>
      </c>
      <c r="P308" t="s">
        <v>1609</v>
      </c>
      <c r="Q308" t="s">
        <v>1257</v>
      </c>
      <c r="R308" t="s">
        <v>1258</v>
      </c>
      <c r="S308" t="s">
        <v>1259</v>
      </c>
      <c r="T308">
        <v>25475</v>
      </c>
      <c r="U308" s="8">
        <f>Working!G317+T308</f>
        <v>25475</v>
      </c>
      <c r="V308">
        <v>0</v>
      </c>
      <c r="W308">
        <v>92</v>
      </c>
      <c r="X308">
        <v>0</v>
      </c>
      <c r="Y308">
        <v>0</v>
      </c>
      <c r="Z308">
        <v>0</v>
      </c>
      <c r="AA308">
        <v>1990118</v>
      </c>
      <c r="AB308" s="4">
        <v>46267</v>
      </c>
      <c r="AC308" t="s">
        <v>2000</v>
      </c>
      <c r="AG308" t="s">
        <v>2001</v>
      </c>
      <c r="AH308" t="s">
        <v>1261</v>
      </c>
      <c r="AI308" t="s">
        <v>1262</v>
      </c>
      <c r="AJ308">
        <v>765244</v>
      </c>
      <c r="AK308" t="s">
        <v>2001</v>
      </c>
      <c r="AL308" t="s">
        <v>1263</v>
      </c>
      <c r="AM308" t="s">
        <v>2002</v>
      </c>
      <c r="AN308" t="s">
        <v>2003</v>
      </c>
      <c r="AO308" s="5">
        <v>46267.705555555556</v>
      </c>
      <c r="AP308" t="s">
        <v>1266</v>
      </c>
      <c r="AQ308" t="s">
        <v>1267</v>
      </c>
      <c r="AR308" t="s">
        <v>2004</v>
      </c>
      <c r="AS308" t="s">
        <v>2005</v>
      </c>
      <c r="AT308" t="s">
        <v>2006</v>
      </c>
    </row>
    <row r="309" spans="1:47" x14ac:dyDescent="0.25">
      <c r="A309" s="1" t="s">
        <v>364</v>
      </c>
      <c r="B309" s="1" t="s">
        <v>358</v>
      </c>
      <c r="C309" s="1" t="s">
        <v>358</v>
      </c>
      <c r="D309" s="1" t="s">
        <v>365</v>
      </c>
      <c r="E309" s="1" t="s">
        <v>38</v>
      </c>
      <c r="F309" s="1" t="s">
        <v>39</v>
      </c>
      <c r="G309" s="2">
        <v>-21284</v>
      </c>
      <c r="H309" s="2">
        <v>3955190.64</v>
      </c>
      <c r="I309" s="1" t="s">
        <v>40</v>
      </c>
      <c r="J309" s="1" t="s">
        <v>49</v>
      </c>
      <c r="K309" s="1" t="s">
        <v>283</v>
      </c>
      <c r="L309" s="1" t="s">
        <v>39</v>
      </c>
      <c r="M309" s="1" t="s">
        <v>366</v>
      </c>
      <c r="O309">
        <v>395390</v>
      </c>
      <c r="P309" t="s">
        <v>1609</v>
      </c>
      <c r="Q309" t="s">
        <v>1257</v>
      </c>
      <c r="R309" t="s">
        <v>1258</v>
      </c>
      <c r="S309" t="s">
        <v>1259</v>
      </c>
      <c r="T309">
        <v>21284</v>
      </c>
      <c r="U309" s="8">
        <f>Working!G318+T309</f>
        <v>21284</v>
      </c>
      <c r="V309">
        <v>0</v>
      </c>
      <c r="W309">
        <v>87</v>
      </c>
      <c r="X309">
        <v>0</v>
      </c>
      <c r="Y309">
        <v>0</v>
      </c>
      <c r="Z309">
        <v>0</v>
      </c>
      <c r="AA309">
        <v>696766.8</v>
      </c>
      <c r="AB309" s="4">
        <v>46267</v>
      </c>
      <c r="AC309" t="s">
        <v>2065</v>
      </c>
      <c r="AG309" t="s">
        <v>2001</v>
      </c>
      <c r="AH309" t="s">
        <v>1261</v>
      </c>
      <c r="AI309" t="s">
        <v>1262</v>
      </c>
      <c r="AJ309">
        <v>765244</v>
      </c>
      <c r="AK309" t="s">
        <v>2001</v>
      </c>
      <c r="AL309" t="s">
        <v>1263</v>
      </c>
      <c r="AM309" t="s">
        <v>2066</v>
      </c>
      <c r="AN309" t="s">
        <v>2067</v>
      </c>
      <c r="AO309" s="5">
        <v>46267.715277777781</v>
      </c>
      <c r="AP309" t="s">
        <v>1266</v>
      </c>
      <c r="AQ309" t="s">
        <v>1267</v>
      </c>
      <c r="AR309" t="s">
        <v>2004</v>
      </c>
      <c r="AS309" t="s">
        <v>2005</v>
      </c>
      <c r="AT309" t="s">
        <v>2006</v>
      </c>
    </row>
    <row r="310" spans="1:47" x14ac:dyDescent="0.25">
      <c r="G310" s="8">
        <f>SUM(G2:G309)</f>
        <v>-3341336</v>
      </c>
      <c r="U310" s="9">
        <f>SUM(U2:U309)</f>
        <v>3341336</v>
      </c>
    </row>
  </sheetData>
  <autoFilter ref="A1:M307" xr:uid="{6D9BC5F8-7FBF-42D6-A3A6-3D6D6CBC8826}">
    <sortState xmlns:xlrd2="http://schemas.microsoft.com/office/spreadsheetml/2017/richdata2" ref="A2:M307">
      <sortCondition ref="A2:A307"/>
    </sortState>
  </autoFilter>
  <sortState xmlns:xlrd2="http://schemas.microsoft.com/office/spreadsheetml/2017/richdata2" ref="O2:AU318">
    <sortCondition ref="AE2:AE3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F8F5-0E2F-49FA-B5DD-DFEF43A8D2C3}">
  <dimension ref="A1:N9"/>
  <sheetViews>
    <sheetView workbookViewId="0">
      <selection activeCell="H13" sqref="H13"/>
    </sheetView>
  </sheetViews>
  <sheetFormatPr defaultRowHeight="12.5" x14ac:dyDescent="0.25"/>
  <cols>
    <col min="1" max="1" width="12.08984375" customWidth="1"/>
    <col min="3" max="5" width="0" hidden="1" customWidth="1"/>
    <col min="6" max="6" width="17.08984375" customWidth="1"/>
    <col min="7" max="7" width="13.81640625" customWidth="1"/>
    <col min="8" max="8" width="17.453125" customWidth="1"/>
    <col min="9" max="9" width="16.08984375" customWidth="1"/>
    <col min="11" max="11" width="13.7265625" customWidth="1"/>
  </cols>
  <sheetData>
    <row r="1" spans="1:14" ht="13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</row>
    <row r="2" spans="1:14" x14ac:dyDescent="0.25">
      <c r="A2" s="1" t="s">
        <v>153</v>
      </c>
      <c r="B2" s="1" t="s">
        <v>154</v>
      </c>
      <c r="C2" s="1" t="s">
        <v>154</v>
      </c>
      <c r="D2" s="1" t="s">
        <v>155</v>
      </c>
      <c r="E2" s="1" t="s">
        <v>38</v>
      </c>
      <c r="F2" s="2">
        <v>5000000</v>
      </c>
      <c r="G2" s="1" t="s">
        <v>39</v>
      </c>
      <c r="H2" s="2">
        <v>8527403.6400000006</v>
      </c>
      <c r="I2" s="1" t="s">
        <v>40</v>
      </c>
      <c r="J2" s="1" t="s">
        <v>156</v>
      </c>
      <c r="K2" s="1" t="s">
        <v>157</v>
      </c>
      <c r="L2" s="1" t="s">
        <v>39</v>
      </c>
      <c r="M2" s="1" t="s">
        <v>39</v>
      </c>
      <c r="N2" s="1" t="s">
        <v>43</v>
      </c>
    </row>
    <row r="3" spans="1:14" x14ac:dyDescent="0.25">
      <c r="A3" s="1" t="s">
        <v>999</v>
      </c>
      <c r="B3" s="1" t="s">
        <v>1000</v>
      </c>
      <c r="C3" s="1" t="s">
        <v>1000</v>
      </c>
      <c r="D3" s="1" t="s">
        <v>1001</v>
      </c>
      <c r="E3" s="1" t="s">
        <v>38</v>
      </c>
      <c r="F3" s="2">
        <v>13632763.25</v>
      </c>
      <c r="G3" s="1" t="s">
        <v>39</v>
      </c>
      <c r="H3" s="2">
        <v>41633345.640000001</v>
      </c>
      <c r="I3" s="1" t="s">
        <v>40</v>
      </c>
      <c r="J3" s="1" t="s">
        <v>1001</v>
      </c>
      <c r="K3" s="1" t="s">
        <v>157</v>
      </c>
      <c r="L3" s="1" t="s">
        <v>39</v>
      </c>
      <c r="M3" s="1" t="s">
        <v>39</v>
      </c>
      <c r="N3" s="1" t="s">
        <v>43</v>
      </c>
    </row>
    <row r="4" spans="1:14" x14ac:dyDescent="0.25">
      <c r="F4" s="8">
        <f>SUM(F2:F3)</f>
        <v>18632763.25</v>
      </c>
    </row>
    <row r="5" spans="1:14" x14ac:dyDescent="0.25">
      <c r="F5" s="8"/>
    </row>
    <row r="6" spans="1:14" ht="13" x14ac:dyDescent="0.3">
      <c r="F6" s="8"/>
      <c r="H6" s="10" t="s">
        <v>2338</v>
      </c>
    </row>
    <row r="7" spans="1:14" ht="13" x14ac:dyDescent="0.3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33</v>
      </c>
      <c r="N7" s="3" t="s">
        <v>34</v>
      </c>
    </row>
    <row r="8" spans="1:14" x14ac:dyDescent="0.25">
      <c r="A8" s="1" t="s">
        <v>994</v>
      </c>
      <c r="B8" s="1" t="s">
        <v>995</v>
      </c>
      <c r="C8" s="1" t="s">
        <v>995</v>
      </c>
      <c r="D8" s="1" t="s">
        <v>996</v>
      </c>
      <c r="E8" s="1" t="s">
        <v>38</v>
      </c>
      <c r="F8" s="1" t="s">
        <v>39</v>
      </c>
      <c r="G8" s="2">
        <v>-35600000</v>
      </c>
      <c r="H8" s="2">
        <v>6033345.6399999997</v>
      </c>
      <c r="I8" s="1" t="s">
        <v>40</v>
      </c>
      <c r="J8" s="1" t="s">
        <v>997</v>
      </c>
      <c r="K8" s="1" t="s">
        <v>880</v>
      </c>
      <c r="L8" s="1" t="s">
        <v>39</v>
      </c>
      <c r="M8" s="1" t="s">
        <v>998</v>
      </c>
      <c r="N8" s="1" t="s">
        <v>43</v>
      </c>
    </row>
    <row r="9" spans="1:14" x14ac:dyDescent="0.25">
      <c r="G9" s="8">
        <f>SUM(G8)</f>
        <v>-35600000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1F7E-0A6F-4A33-8692-AA45C47997FA}">
  <dimension ref="A1:AG9"/>
  <sheetViews>
    <sheetView workbookViewId="0">
      <selection activeCell="B10" sqref="B10:AJ11"/>
    </sheetView>
  </sheetViews>
  <sheetFormatPr defaultRowHeight="12.5" x14ac:dyDescent="0.25"/>
  <sheetData>
    <row r="1" spans="1:33" x14ac:dyDescent="0.25">
      <c r="A1">
        <v>455555</v>
      </c>
      <c r="B1">
        <v>343884</v>
      </c>
      <c r="C1" t="s">
        <v>1297</v>
      </c>
      <c r="D1" t="s">
        <v>1286</v>
      </c>
      <c r="F1" t="s">
        <v>1259</v>
      </c>
      <c r="G1">
        <v>3465</v>
      </c>
      <c r="H1" s="8">
        <f>Working!G308+G1</f>
        <v>-22010</v>
      </c>
      <c r="I1">
        <v>0</v>
      </c>
      <c r="J1">
        <v>10</v>
      </c>
      <c r="K1">
        <v>0</v>
      </c>
      <c r="L1">
        <v>0</v>
      </c>
      <c r="M1">
        <v>0</v>
      </c>
      <c r="N1">
        <v>5794</v>
      </c>
      <c r="O1" s="4">
        <v>46267</v>
      </c>
      <c r="P1" t="s">
        <v>1298</v>
      </c>
      <c r="Q1" t="s">
        <v>1299</v>
      </c>
      <c r="U1" t="s">
        <v>1261</v>
      </c>
      <c r="V1" t="s">
        <v>1262</v>
      </c>
      <c r="W1">
        <v>9053691</v>
      </c>
      <c r="Y1" t="s">
        <v>1263</v>
      </c>
      <c r="Z1" t="s">
        <v>1300</v>
      </c>
      <c r="AA1" t="s">
        <v>1300</v>
      </c>
      <c r="AB1" s="5">
        <v>46267.361805555556</v>
      </c>
      <c r="AC1" t="s">
        <v>1266</v>
      </c>
      <c r="AD1" t="s">
        <v>1293</v>
      </c>
      <c r="AE1" t="s">
        <v>1268</v>
      </c>
      <c r="AF1" t="s">
        <v>1269</v>
      </c>
      <c r="AG1" t="s">
        <v>1270</v>
      </c>
    </row>
    <row r="2" spans="1:33" x14ac:dyDescent="0.25">
      <c r="A2">
        <v>455555</v>
      </c>
      <c r="B2">
        <v>334660</v>
      </c>
      <c r="C2" t="s">
        <v>1353</v>
      </c>
      <c r="D2" t="s">
        <v>1286</v>
      </c>
      <c r="F2" t="s">
        <v>1259</v>
      </c>
      <c r="G2">
        <v>2400</v>
      </c>
      <c r="H2" s="8">
        <f>Working!G309+G2</f>
        <v>-18884</v>
      </c>
      <c r="I2">
        <v>0</v>
      </c>
      <c r="J2">
        <v>34</v>
      </c>
      <c r="K2">
        <v>0</v>
      </c>
      <c r="L2">
        <v>0</v>
      </c>
      <c r="M2">
        <v>0</v>
      </c>
      <c r="N2">
        <v>3509</v>
      </c>
      <c r="O2" s="4">
        <v>46267</v>
      </c>
      <c r="P2" t="s">
        <v>1354</v>
      </c>
      <c r="Q2" t="s">
        <v>1355</v>
      </c>
      <c r="T2" t="s">
        <v>1356</v>
      </c>
      <c r="U2" t="s">
        <v>1261</v>
      </c>
      <c r="V2" t="s">
        <v>1262</v>
      </c>
      <c r="W2">
        <v>600118</v>
      </c>
      <c r="X2" t="s">
        <v>1356</v>
      </c>
      <c r="Y2" t="s">
        <v>1263</v>
      </c>
      <c r="Z2" t="s">
        <v>1357</v>
      </c>
      <c r="AA2">
        <v>182779</v>
      </c>
      <c r="AB2" s="5">
        <v>46267.455555555556</v>
      </c>
      <c r="AC2" t="s">
        <v>1266</v>
      </c>
      <c r="AD2" t="s">
        <v>1293</v>
      </c>
      <c r="AE2" t="s">
        <v>1268</v>
      </c>
      <c r="AF2" t="s">
        <v>1269</v>
      </c>
      <c r="AG2" t="s">
        <v>1270</v>
      </c>
    </row>
    <row r="3" spans="1:33" x14ac:dyDescent="0.25">
      <c r="A3">
        <v>455555</v>
      </c>
      <c r="B3">
        <v>314127</v>
      </c>
      <c r="C3" t="s">
        <v>1541</v>
      </c>
      <c r="D3" t="s">
        <v>1286</v>
      </c>
      <c r="F3" t="s">
        <v>1259</v>
      </c>
      <c r="G3">
        <v>170</v>
      </c>
      <c r="H3" s="8">
        <f>Working!G310+G3</f>
        <v>-3341166</v>
      </c>
      <c r="I3">
        <v>0</v>
      </c>
      <c r="J3">
        <v>10</v>
      </c>
      <c r="K3">
        <v>0</v>
      </c>
      <c r="L3">
        <v>0</v>
      </c>
      <c r="M3">
        <v>0</v>
      </c>
      <c r="N3">
        <v>3868</v>
      </c>
      <c r="O3" s="4">
        <v>46267</v>
      </c>
      <c r="P3" t="s">
        <v>1542</v>
      </c>
      <c r="Q3" t="s">
        <v>1543</v>
      </c>
      <c r="T3" t="s">
        <v>1544</v>
      </c>
      <c r="U3" t="s">
        <v>1261</v>
      </c>
      <c r="V3" t="s">
        <v>1262</v>
      </c>
      <c r="W3">
        <v>622645</v>
      </c>
      <c r="X3" t="s">
        <v>1544</v>
      </c>
      <c r="Y3" t="s">
        <v>1263</v>
      </c>
      <c r="Z3" t="s">
        <v>1545</v>
      </c>
      <c r="AA3">
        <v>30348505</v>
      </c>
      <c r="AB3" s="5">
        <v>46267.602083333331</v>
      </c>
      <c r="AC3" t="s">
        <v>1266</v>
      </c>
      <c r="AD3" t="s">
        <v>1293</v>
      </c>
      <c r="AE3" t="s">
        <v>1268</v>
      </c>
      <c r="AF3" t="s">
        <v>1269</v>
      </c>
      <c r="AG3" t="s">
        <v>1270</v>
      </c>
    </row>
    <row r="4" spans="1:33" x14ac:dyDescent="0.25">
      <c r="A4">
        <v>455555</v>
      </c>
      <c r="B4">
        <v>476599</v>
      </c>
      <c r="C4" t="s">
        <v>2209</v>
      </c>
      <c r="D4" t="s">
        <v>1386</v>
      </c>
      <c r="F4" t="s">
        <v>1259</v>
      </c>
      <c r="G4">
        <v>30000</v>
      </c>
      <c r="H4" s="8">
        <f>Working!G311+G4</f>
        <v>30000</v>
      </c>
      <c r="I4">
        <v>0</v>
      </c>
      <c r="J4">
        <v>92</v>
      </c>
      <c r="K4">
        <v>0</v>
      </c>
      <c r="L4">
        <v>0</v>
      </c>
      <c r="M4">
        <v>0</v>
      </c>
      <c r="N4">
        <v>10328</v>
      </c>
      <c r="O4" s="4">
        <v>46267</v>
      </c>
      <c r="P4" t="s">
        <v>2210</v>
      </c>
      <c r="Q4" t="s">
        <v>2211</v>
      </c>
      <c r="T4" t="s">
        <v>1604</v>
      </c>
      <c r="U4" t="s">
        <v>1261</v>
      </c>
      <c r="V4" t="s">
        <v>1262</v>
      </c>
      <c r="W4">
        <v>880100</v>
      </c>
      <c r="X4" t="s">
        <v>1604</v>
      </c>
      <c r="Y4" t="s">
        <v>1263</v>
      </c>
      <c r="Z4" t="s">
        <v>2212</v>
      </c>
      <c r="AA4">
        <v>1441710028</v>
      </c>
      <c r="AB4" s="5">
        <v>46267.835416666669</v>
      </c>
      <c r="AC4" t="s">
        <v>1266</v>
      </c>
      <c r="AD4" t="s">
        <v>1293</v>
      </c>
      <c r="AE4" t="s">
        <v>1268</v>
      </c>
      <c r="AF4" t="s">
        <v>1269</v>
      </c>
      <c r="AG4" t="s">
        <v>1270</v>
      </c>
    </row>
    <row r="5" spans="1:33" x14ac:dyDescent="0.25">
      <c r="A5">
        <v>455555</v>
      </c>
      <c r="B5">
        <v>392688</v>
      </c>
      <c r="C5" t="s">
        <v>2197</v>
      </c>
      <c r="D5" t="s">
        <v>1286</v>
      </c>
      <c r="F5" t="s">
        <v>1259</v>
      </c>
      <c r="G5">
        <v>170</v>
      </c>
      <c r="H5" s="8">
        <f>Working!G312+G5</f>
        <v>170</v>
      </c>
      <c r="I5">
        <v>0</v>
      </c>
      <c r="J5">
        <v>10</v>
      </c>
      <c r="K5">
        <v>0</v>
      </c>
      <c r="L5">
        <v>0</v>
      </c>
      <c r="M5">
        <v>0</v>
      </c>
      <c r="N5">
        <v>573</v>
      </c>
      <c r="O5" s="4">
        <v>46267</v>
      </c>
      <c r="P5" t="s">
        <v>2198</v>
      </c>
      <c r="Q5" t="s">
        <v>2199</v>
      </c>
      <c r="U5" t="s">
        <v>1261</v>
      </c>
      <c r="V5" t="s">
        <v>1262</v>
      </c>
      <c r="W5">
        <v>6281575</v>
      </c>
      <c r="Y5" t="s">
        <v>1263</v>
      </c>
      <c r="Z5" t="s">
        <v>2200</v>
      </c>
      <c r="AA5" t="s">
        <v>2200</v>
      </c>
      <c r="AB5" s="5">
        <v>46267.811111111114</v>
      </c>
      <c r="AC5" t="s">
        <v>1266</v>
      </c>
      <c r="AD5" t="s">
        <v>1293</v>
      </c>
      <c r="AE5" t="s">
        <v>1268</v>
      </c>
      <c r="AF5" t="s">
        <v>1269</v>
      </c>
      <c r="AG5" t="s">
        <v>1270</v>
      </c>
    </row>
    <row r="6" spans="1:33" x14ac:dyDescent="0.25">
      <c r="A6">
        <v>455555</v>
      </c>
      <c r="B6">
        <v>896279</v>
      </c>
      <c r="C6" t="s">
        <v>2186</v>
      </c>
      <c r="D6" t="s">
        <v>1286</v>
      </c>
      <c r="F6" t="s">
        <v>1259</v>
      </c>
      <c r="G6">
        <v>250</v>
      </c>
      <c r="H6" s="8">
        <f>Working!G313+G6</f>
        <v>250</v>
      </c>
      <c r="I6">
        <v>0</v>
      </c>
      <c r="J6">
        <v>10</v>
      </c>
      <c r="K6">
        <v>0</v>
      </c>
      <c r="L6">
        <v>0</v>
      </c>
      <c r="M6">
        <v>0</v>
      </c>
      <c r="N6">
        <v>11248</v>
      </c>
      <c r="O6" s="4">
        <v>46267</v>
      </c>
      <c r="P6" t="s">
        <v>2190</v>
      </c>
      <c r="Q6" t="s">
        <v>2191</v>
      </c>
      <c r="U6" t="s">
        <v>1261</v>
      </c>
      <c r="V6" t="s">
        <v>1262</v>
      </c>
      <c r="W6">
        <v>3529750</v>
      </c>
      <c r="Y6" t="s">
        <v>1263</v>
      </c>
      <c r="Z6" t="s">
        <v>2192</v>
      </c>
      <c r="AA6" t="s">
        <v>2192</v>
      </c>
      <c r="AB6" s="5">
        <v>46267.788194444445</v>
      </c>
      <c r="AC6" t="s">
        <v>1266</v>
      </c>
      <c r="AD6" t="s">
        <v>1293</v>
      </c>
      <c r="AE6" t="s">
        <v>1268</v>
      </c>
      <c r="AF6" t="s">
        <v>1269</v>
      </c>
      <c r="AG6" t="s">
        <v>1270</v>
      </c>
    </row>
    <row r="7" spans="1:33" x14ac:dyDescent="0.25">
      <c r="A7">
        <v>455555</v>
      </c>
      <c r="B7">
        <v>390602</v>
      </c>
      <c r="C7" t="s">
        <v>2292</v>
      </c>
      <c r="D7" t="s">
        <v>1286</v>
      </c>
      <c r="F7" t="s">
        <v>1259</v>
      </c>
      <c r="G7">
        <v>3000</v>
      </c>
      <c r="H7" s="8">
        <f>Working!G314+G7</f>
        <v>3000</v>
      </c>
      <c r="I7">
        <v>0</v>
      </c>
      <c r="J7">
        <v>10</v>
      </c>
      <c r="K7">
        <v>0</v>
      </c>
      <c r="L7">
        <v>0</v>
      </c>
      <c r="M7">
        <v>0</v>
      </c>
      <c r="N7">
        <v>47078</v>
      </c>
      <c r="O7" s="4">
        <v>46267</v>
      </c>
      <c r="P7" t="s">
        <v>2293</v>
      </c>
      <c r="Q7" t="s">
        <v>2294</v>
      </c>
      <c r="U7" t="s">
        <v>1261</v>
      </c>
      <c r="V7" t="s">
        <v>1262</v>
      </c>
      <c r="W7">
        <v>138586</v>
      </c>
      <c r="Y7" t="s">
        <v>1263</v>
      </c>
      <c r="Z7" t="s">
        <v>2295</v>
      </c>
      <c r="AA7" t="s">
        <v>2295</v>
      </c>
      <c r="AB7" s="5">
        <v>46267.9</v>
      </c>
      <c r="AC7" t="s">
        <v>1266</v>
      </c>
      <c r="AD7" t="s">
        <v>1293</v>
      </c>
      <c r="AE7" t="s">
        <v>1268</v>
      </c>
      <c r="AF7" t="s">
        <v>1269</v>
      </c>
      <c r="AG7" t="s">
        <v>1270</v>
      </c>
    </row>
    <row r="8" spans="1:33" x14ac:dyDescent="0.25">
      <c r="A8">
        <v>455555</v>
      </c>
      <c r="B8">
        <v>1691107</v>
      </c>
      <c r="C8" t="s">
        <v>2331</v>
      </c>
      <c r="D8" t="s">
        <v>1286</v>
      </c>
      <c r="F8" t="s">
        <v>1259</v>
      </c>
      <c r="G8">
        <v>1050</v>
      </c>
      <c r="H8" s="8">
        <f>Working!G315+G8</f>
        <v>1050</v>
      </c>
      <c r="I8">
        <v>0</v>
      </c>
      <c r="J8">
        <v>10</v>
      </c>
      <c r="K8">
        <v>0</v>
      </c>
      <c r="L8">
        <v>0</v>
      </c>
      <c r="M8">
        <v>0</v>
      </c>
      <c r="N8">
        <v>5902</v>
      </c>
      <c r="O8" s="4">
        <v>46267</v>
      </c>
      <c r="P8" t="s">
        <v>2332</v>
      </c>
      <c r="Q8" t="s">
        <v>2333</v>
      </c>
      <c r="U8" t="s">
        <v>1261</v>
      </c>
      <c r="V8" t="s">
        <v>1262</v>
      </c>
      <c r="W8">
        <v>9239183</v>
      </c>
      <c r="Y8" t="s">
        <v>1263</v>
      </c>
      <c r="Z8" t="s">
        <v>2334</v>
      </c>
      <c r="AA8" t="s">
        <v>2334</v>
      </c>
      <c r="AB8" s="5">
        <v>46267.958333333336</v>
      </c>
      <c r="AC8" t="s">
        <v>1266</v>
      </c>
      <c r="AD8" t="s">
        <v>1293</v>
      </c>
      <c r="AE8" t="s">
        <v>1268</v>
      </c>
      <c r="AF8" t="s">
        <v>1269</v>
      </c>
      <c r="AG8" t="s">
        <v>1270</v>
      </c>
    </row>
    <row r="9" spans="1:33" x14ac:dyDescent="0.25">
      <c r="A9">
        <v>455555</v>
      </c>
      <c r="B9">
        <v>132186</v>
      </c>
      <c r="C9" t="s">
        <v>2299</v>
      </c>
      <c r="D9" t="s">
        <v>1286</v>
      </c>
      <c r="F9" t="s">
        <v>1259</v>
      </c>
      <c r="G9">
        <v>750</v>
      </c>
      <c r="H9" s="8">
        <f>Working!G316+G9</f>
        <v>750</v>
      </c>
      <c r="I9">
        <v>0</v>
      </c>
      <c r="J9">
        <v>20</v>
      </c>
      <c r="K9">
        <v>0</v>
      </c>
      <c r="L9">
        <v>0</v>
      </c>
      <c r="M9">
        <v>0</v>
      </c>
      <c r="N9">
        <v>10523</v>
      </c>
      <c r="O9" s="4">
        <v>46267</v>
      </c>
      <c r="P9" t="s">
        <v>2300</v>
      </c>
      <c r="Q9" t="s">
        <v>2301</v>
      </c>
      <c r="T9" t="s">
        <v>1407</v>
      </c>
      <c r="U9" t="s">
        <v>1261</v>
      </c>
      <c r="V9" t="s">
        <v>1262</v>
      </c>
      <c r="W9">
        <v>400200</v>
      </c>
      <c r="X9" t="s">
        <v>1407</v>
      </c>
      <c r="Y9" t="s">
        <v>1263</v>
      </c>
      <c r="Z9" t="s">
        <v>2302</v>
      </c>
      <c r="AA9">
        <v>1186541</v>
      </c>
      <c r="AB9" s="5">
        <v>46267.90625</v>
      </c>
      <c r="AC9" t="s">
        <v>1266</v>
      </c>
      <c r="AD9" t="s">
        <v>1293</v>
      </c>
      <c r="AE9" t="s">
        <v>1268</v>
      </c>
      <c r="AF9" t="s">
        <v>1269</v>
      </c>
      <c r="AG9" t="s">
        <v>1270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F079-ECEA-40BF-983F-8456C397A23F}">
  <dimension ref="A1:N305"/>
  <sheetViews>
    <sheetView topLeftCell="A292" workbookViewId="0">
      <selection activeCell="G306" sqref="G306"/>
    </sheetView>
  </sheetViews>
  <sheetFormatPr defaultRowHeight="12.5" x14ac:dyDescent="0.25"/>
  <cols>
    <col min="7" max="7" width="9.54296875" bestFit="1" customWidth="1"/>
  </cols>
  <sheetData>
    <row r="1" spans="1:14" ht="13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</row>
    <row r="2" spans="1:14" x14ac:dyDescent="0.25">
      <c r="A2" s="1" t="s">
        <v>35</v>
      </c>
      <c r="B2" s="1" t="s">
        <v>36</v>
      </c>
      <c r="C2" s="1" t="s">
        <v>36</v>
      </c>
      <c r="D2" s="1" t="s">
        <v>37</v>
      </c>
      <c r="E2" s="1" t="s">
        <v>38</v>
      </c>
      <c r="F2" s="1" t="s">
        <v>39</v>
      </c>
      <c r="G2" s="2">
        <v>-18</v>
      </c>
      <c r="H2" s="2">
        <v>8341383.6399999997</v>
      </c>
      <c r="I2" s="1" t="s">
        <v>40</v>
      </c>
      <c r="J2" s="1" t="s">
        <v>41</v>
      </c>
      <c r="K2" s="1" t="s">
        <v>42</v>
      </c>
      <c r="L2" s="1" t="s">
        <v>39</v>
      </c>
      <c r="M2" s="1" t="s">
        <v>39</v>
      </c>
      <c r="N2" s="1" t="s">
        <v>43</v>
      </c>
    </row>
    <row r="3" spans="1:14" x14ac:dyDescent="0.25">
      <c r="A3" s="1" t="s">
        <v>46</v>
      </c>
      <c r="B3" s="1" t="s">
        <v>47</v>
      </c>
      <c r="C3" s="1" t="s">
        <v>47</v>
      </c>
      <c r="D3" s="1" t="s">
        <v>48</v>
      </c>
      <c r="E3" s="1" t="s">
        <v>38</v>
      </c>
      <c r="F3" s="1" t="s">
        <v>39</v>
      </c>
      <c r="G3" s="2">
        <v>-13</v>
      </c>
      <c r="H3" s="2">
        <v>8342851.6399999997</v>
      </c>
      <c r="I3" s="1" t="s">
        <v>40</v>
      </c>
      <c r="J3" s="1" t="s">
        <v>49</v>
      </c>
      <c r="K3" s="1" t="s">
        <v>42</v>
      </c>
      <c r="L3" s="1" t="s">
        <v>39</v>
      </c>
      <c r="M3" s="1" t="s">
        <v>39</v>
      </c>
      <c r="N3" s="1" t="s">
        <v>43</v>
      </c>
    </row>
    <row r="4" spans="1:14" x14ac:dyDescent="0.25">
      <c r="A4" s="1" t="s">
        <v>53</v>
      </c>
      <c r="B4" s="1" t="s">
        <v>54</v>
      </c>
      <c r="C4" s="1" t="s">
        <v>54</v>
      </c>
      <c r="D4" s="1" t="s">
        <v>37</v>
      </c>
      <c r="E4" s="1" t="s">
        <v>38</v>
      </c>
      <c r="F4" s="1" t="s">
        <v>39</v>
      </c>
      <c r="G4" s="2">
        <v>-39</v>
      </c>
      <c r="H4" s="2">
        <v>8343614.6399999997</v>
      </c>
      <c r="I4" s="1" t="s">
        <v>40</v>
      </c>
      <c r="J4" s="1" t="s">
        <v>41</v>
      </c>
      <c r="K4" s="1" t="s">
        <v>42</v>
      </c>
      <c r="L4" s="1" t="s">
        <v>39</v>
      </c>
      <c r="M4" s="1" t="s">
        <v>39</v>
      </c>
      <c r="N4" s="1" t="s">
        <v>43</v>
      </c>
    </row>
    <row r="5" spans="1:14" x14ac:dyDescent="0.25">
      <c r="A5" s="1" t="s">
        <v>57</v>
      </c>
      <c r="B5" s="1" t="s">
        <v>58</v>
      </c>
      <c r="C5" s="1" t="s">
        <v>58</v>
      </c>
      <c r="D5" s="1" t="s">
        <v>37</v>
      </c>
      <c r="E5" s="1" t="s">
        <v>38</v>
      </c>
      <c r="F5" s="1" t="s">
        <v>39</v>
      </c>
      <c r="G5" s="2">
        <v>-39</v>
      </c>
      <c r="H5" s="2">
        <v>8348653.6399999997</v>
      </c>
      <c r="I5" s="1" t="s">
        <v>40</v>
      </c>
      <c r="J5" s="1" t="s">
        <v>41</v>
      </c>
      <c r="K5" s="1" t="s">
        <v>42</v>
      </c>
      <c r="L5" s="1" t="s">
        <v>39</v>
      </c>
      <c r="M5" s="1" t="s">
        <v>39</v>
      </c>
      <c r="N5" s="1" t="s">
        <v>43</v>
      </c>
    </row>
    <row r="6" spans="1:14" x14ac:dyDescent="0.25">
      <c r="A6" s="1" t="s">
        <v>60</v>
      </c>
      <c r="B6" s="1" t="s">
        <v>61</v>
      </c>
      <c r="C6" s="1" t="s">
        <v>61</v>
      </c>
      <c r="D6" s="1" t="s">
        <v>37</v>
      </c>
      <c r="E6" s="1" t="s">
        <v>38</v>
      </c>
      <c r="F6" s="1" t="s">
        <v>39</v>
      </c>
      <c r="G6" s="2">
        <v>-39</v>
      </c>
      <c r="H6" s="2">
        <v>8353692.6399999997</v>
      </c>
      <c r="I6" s="1" t="s">
        <v>40</v>
      </c>
      <c r="J6" s="1" t="s">
        <v>41</v>
      </c>
      <c r="K6" s="1" t="s">
        <v>42</v>
      </c>
      <c r="L6" s="1" t="s">
        <v>39</v>
      </c>
      <c r="M6" s="1" t="s">
        <v>39</v>
      </c>
      <c r="N6" s="1" t="s">
        <v>43</v>
      </c>
    </row>
    <row r="7" spans="1:14" x14ac:dyDescent="0.25">
      <c r="A7" s="1" t="s">
        <v>64</v>
      </c>
      <c r="B7" s="1" t="s">
        <v>65</v>
      </c>
      <c r="C7" s="1" t="s">
        <v>65</v>
      </c>
      <c r="D7" s="1" t="s">
        <v>37</v>
      </c>
      <c r="E7" s="1" t="s">
        <v>38</v>
      </c>
      <c r="F7" s="1" t="s">
        <v>39</v>
      </c>
      <c r="G7" s="2">
        <v>-39</v>
      </c>
      <c r="H7" s="2">
        <v>8358031.6399999997</v>
      </c>
      <c r="I7" s="1" t="s">
        <v>40</v>
      </c>
      <c r="J7" s="1" t="s">
        <v>41</v>
      </c>
      <c r="K7" s="1" t="s">
        <v>42</v>
      </c>
      <c r="L7" s="1" t="s">
        <v>39</v>
      </c>
      <c r="M7" s="1" t="s">
        <v>39</v>
      </c>
      <c r="N7" s="1" t="s">
        <v>43</v>
      </c>
    </row>
    <row r="8" spans="1:14" x14ac:dyDescent="0.25">
      <c r="A8" s="1" t="s">
        <v>67</v>
      </c>
      <c r="B8" s="1" t="s">
        <v>68</v>
      </c>
      <c r="C8" s="1" t="s">
        <v>68</v>
      </c>
      <c r="D8" s="1" t="s">
        <v>37</v>
      </c>
      <c r="E8" s="1" t="s">
        <v>38</v>
      </c>
      <c r="F8" s="1" t="s">
        <v>39</v>
      </c>
      <c r="G8" s="2">
        <v>-39</v>
      </c>
      <c r="H8" s="2">
        <v>8363070.6399999997</v>
      </c>
      <c r="I8" s="1" t="s">
        <v>40</v>
      </c>
      <c r="J8" s="1" t="s">
        <v>41</v>
      </c>
      <c r="K8" s="1" t="s">
        <v>42</v>
      </c>
      <c r="L8" s="1" t="s">
        <v>39</v>
      </c>
      <c r="M8" s="1" t="s">
        <v>39</v>
      </c>
      <c r="N8" s="1" t="s">
        <v>43</v>
      </c>
    </row>
    <row r="9" spans="1:14" x14ac:dyDescent="0.25">
      <c r="A9" s="1" t="s">
        <v>70</v>
      </c>
      <c r="B9" s="1" t="s">
        <v>71</v>
      </c>
      <c r="C9" s="1" t="s">
        <v>71</v>
      </c>
      <c r="D9" s="1" t="s">
        <v>37</v>
      </c>
      <c r="E9" s="1" t="s">
        <v>38</v>
      </c>
      <c r="F9" s="1" t="s">
        <v>39</v>
      </c>
      <c r="G9" s="2">
        <v>-54</v>
      </c>
      <c r="H9" s="2">
        <v>8368109.6399999997</v>
      </c>
      <c r="I9" s="1" t="s">
        <v>40</v>
      </c>
      <c r="J9" s="1" t="s">
        <v>41</v>
      </c>
      <c r="K9" s="1" t="s">
        <v>42</v>
      </c>
      <c r="L9" s="1" t="s">
        <v>39</v>
      </c>
      <c r="M9" s="1" t="s">
        <v>39</v>
      </c>
      <c r="N9" s="1" t="s">
        <v>43</v>
      </c>
    </row>
    <row r="10" spans="1:14" x14ac:dyDescent="0.25">
      <c r="A10" s="1" t="s">
        <v>74</v>
      </c>
      <c r="B10" s="1" t="s">
        <v>75</v>
      </c>
      <c r="C10" s="1" t="s">
        <v>75</v>
      </c>
      <c r="D10" s="1" t="s">
        <v>48</v>
      </c>
      <c r="E10" s="1" t="s">
        <v>38</v>
      </c>
      <c r="F10" s="1" t="s">
        <v>39</v>
      </c>
      <c r="G10" s="2">
        <v>-8</v>
      </c>
      <c r="H10" s="2">
        <v>8376063.6399999997</v>
      </c>
      <c r="I10" s="1" t="s">
        <v>40</v>
      </c>
      <c r="J10" s="1" t="s">
        <v>49</v>
      </c>
      <c r="K10" s="1" t="s">
        <v>42</v>
      </c>
      <c r="L10" s="1" t="s">
        <v>39</v>
      </c>
      <c r="M10" s="1" t="s">
        <v>39</v>
      </c>
      <c r="N10" s="1" t="s">
        <v>43</v>
      </c>
    </row>
    <row r="11" spans="1:14" x14ac:dyDescent="0.25">
      <c r="A11" s="1" t="s">
        <v>79</v>
      </c>
      <c r="B11" s="1" t="s">
        <v>80</v>
      </c>
      <c r="C11" s="1" t="s">
        <v>80</v>
      </c>
      <c r="D11" s="1" t="s">
        <v>37</v>
      </c>
      <c r="E11" s="1" t="s">
        <v>38</v>
      </c>
      <c r="F11" s="1" t="s">
        <v>39</v>
      </c>
      <c r="G11" s="2">
        <v>-48</v>
      </c>
      <c r="H11" s="2">
        <v>8376221.6399999997</v>
      </c>
      <c r="I11" s="1" t="s">
        <v>40</v>
      </c>
      <c r="J11" s="1" t="s">
        <v>41</v>
      </c>
      <c r="K11" s="1" t="s">
        <v>42</v>
      </c>
      <c r="L11" s="1" t="s">
        <v>39</v>
      </c>
      <c r="M11" s="1" t="s">
        <v>39</v>
      </c>
      <c r="N11" s="1" t="s">
        <v>43</v>
      </c>
    </row>
    <row r="12" spans="1:14" x14ac:dyDescent="0.25">
      <c r="A12" s="1" t="s">
        <v>83</v>
      </c>
      <c r="B12" s="1" t="s">
        <v>84</v>
      </c>
      <c r="C12" s="1" t="s">
        <v>84</v>
      </c>
      <c r="D12" s="1" t="s">
        <v>48</v>
      </c>
      <c r="E12" s="1" t="s">
        <v>38</v>
      </c>
      <c r="F12" s="1" t="s">
        <v>39</v>
      </c>
      <c r="G12" s="2">
        <v>-25</v>
      </c>
      <c r="H12" s="2">
        <v>8381819.6399999997</v>
      </c>
      <c r="I12" s="1" t="s">
        <v>40</v>
      </c>
      <c r="J12" s="1" t="s">
        <v>49</v>
      </c>
      <c r="K12" s="1" t="s">
        <v>42</v>
      </c>
      <c r="L12" s="1" t="s">
        <v>39</v>
      </c>
      <c r="M12" s="1" t="s">
        <v>39</v>
      </c>
      <c r="N12" s="1" t="s">
        <v>43</v>
      </c>
    </row>
    <row r="13" spans="1:14" x14ac:dyDescent="0.25">
      <c r="A13" s="1" t="s">
        <v>88</v>
      </c>
      <c r="B13" s="1" t="s">
        <v>89</v>
      </c>
      <c r="C13" s="1" t="s">
        <v>89</v>
      </c>
      <c r="D13" s="1" t="s">
        <v>37</v>
      </c>
      <c r="E13" s="1" t="s">
        <v>38</v>
      </c>
      <c r="F13" s="1" t="s">
        <v>39</v>
      </c>
      <c r="G13" s="2">
        <v>-48</v>
      </c>
      <c r="H13" s="2">
        <v>8383844.6399999997</v>
      </c>
      <c r="I13" s="1" t="s">
        <v>40</v>
      </c>
      <c r="J13" s="1" t="s">
        <v>41</v>
      </c>
      <c r="K13" s="1" t="s">
        <v>42</v>
      </c>
      <c r="L13" s="1" t="s">
        <v>39</v>
      </c>
      <c r="M13" s="1" t="s">
        <v>39</v>
      </c>
      <c r="N13" s="1" t="s">
        <v>43</v>
      </c>
    </row>
    <row r="14" spans="1:14" x14ac:dyDescent="0.25">
      <c r="A14" s="1" t="s">
        <v>91</v>
      </c>
      <c r="B14" s="1" t="s">
        <v>92</v>
      </c>
      <c r="C14" s="1" t="s">
        <v>93</v>
      </c>
      <c r="D14" s="1" t="s">
        <v>48</v>
      </c>
      <c r="E14" s="1" t="s">
        <v>38</v>
      </c>
      <c r="F14" s="1" t="s">
        <v>39</v>
      </c>
      <c r="G14" s="2">
        <v>-54</v>
      </c>
      <c r="H14" s="2">
        <v>8399242.6400000006</v>
      </c>
      <c r="I14" s="1" t="s">
        <v>40</v>
      </c>
      <c r="J14" s="1" t="s">
        <v>49</v>
      </c>
      <c r="K14" s="1" t="s">
        <v>42</v>
      </c>
      <c r="L14" s="1" t="s">
        <v>39</v>
      </c>
      <c r="M14" s="1" t="s">
        <v>39</v>
      </c>
      <c r="N14" s="1" t="s">
        <v>43</v>
      </c>
    </row>
    <row r="15" spans="1:14" x14ac:dyDescent="0.25">
      <c r="A15" s="1" t="s">
        <v>97</v>
      </c>
      <c r="B15" s="1" t="s">
        <v>98</v>
      </c>
      <c r="C15" s="1" t="s">
        <v>98</v>
      </c>
      <c r="D15" s="1" t="s">
        <v>37</v>
      </c>
      <c r="E15" s="1" t="s">
        <v>38</v>
      </c>
      <c r="F15" s="1" t="s">
        <v>39</v>
      </c>
      <c r="G15" s="2">
        <v>-39</v>
      </c>
      <c r="H15" s="2">
        <v>8399296.6400000006</v>
      </c>
      <c r="I15" s="1" t="s">
        <v>40</v>
      </c>
      <c r="J15" s="1" t="s">
        <v>41</v>
      </c>
      <c r="K15" s="1" t="s">
        <v>42</v>
      </c>
      <c r="L15" s="1" t="s">
        <v>39</v>
      </c>
      <c r="M15" s="1" t="s">
        <v>39</v>
      </c>
      <c r="N15" s="1" t="s">
        <v>43</v>
      </c>
    </row>
    <row r="16" spans="1:14" x14ac:dyDescent="0.25">
      <c r="A16" s="1" t="s">
        <v>101</v>
      </c>
      <c r="B16" s="1" t="s">
        <v>102</v>
      </c>
      <c r="C16" s="1" t="s">
        <v>102</v>
      </c>
      <c r="D16" s="1" t="s">
        <v>37</v>
      </c>
      <c r="E16" s="1" t="s">
        <v>38</v>
      </c>
      <c r="F16" s="1" t="s">
        <v>39</v>
      </c>
      <c r="G16" s="2">
        <v>-48</v>
      </c>
      <c r="H16" s="2">
        <v>8403035.6400000006</v>
      </c>
      <c r="I16" s="1" t="s">
        <v>40</v>
      </c>
      <c r="J16" s="1" t="s">
        <v>41</v>
      </c>
      <c r="K16" s="1" t="s">
        <v>42</v>
      </c>
      <c r="L16" s="1" t="s">
        <v>39</v>
      </c>
      <c r="M16" s="1" t="s">
        <v>39</v>
      </c>
      <c r="N16" s="1" t="s">
        <v>43</v>
      </c>
    </row>
    <row r="17" spans="1:14" x14ac:dyDescent="0.25">
      <c r="A17" s="1" t="s">
        <v>105</v>
      </c>
      <c r="B17" s="1" t="s">
        <v>106</v>
      </c>
      <c r="C17" s="1" t="s">
        <v>106</v>
      </c>
      <c r="D17" s="1" t="s">
        <v>37</v>
      </c>
      <c r="E17" s="1" t="s">
        <v>38</v>
      </c>
      <c r="F17" s="1" t="s">
        <v>39</v>
      </c>
      <c r="G17" s="2">
        <v>-63</v>
      </c>
      <c r="H17" s="2">
        <v>8408833.6400000006</v>
      </c>
      <c r="I17" s="1" t="s">
        <v>40</v>
      </c>
      <c r="J17" s="1" t="s">
        <v>41</v>
      </c>
      <c r="K17" s="1" t="s">
        <v>42</v>
      </c>
      <c r="L17" s="1" t="s">
        <v>39</v>
      </c>
      <c r="M17" s="1" t="s">
        <v>39</v>
      </c>
      <c r="N17" s="1" t="s">
        <v>43</v>
      </c>
    </row>
    <row r="18" spans="1:14" x14ac:dyDescent="0.25">
      <c r="A18" s="1" t="s">
        <v>109</v>
      </c>
      <c r="B18" s="1" t="s">
        <v>110</v>
      </c>
      <c r="C18" s="1" t="s">
        <v>110</v>
      </c>
      <c r="D18" s="1" t="s">
        <v>37</v>
      </c>
      <c r="E18" s="1" t="s">
        <v>38</v>
      </c>
      <c r="F18" s="1" t="s">
        <v>39</v>
      </c>
      <c r="G18" s="2">
        <v>-63</v>
      </c>
      <c r="H18" s="2">
        <v>8421311.6400000006</v>
      </c>
      <c r="I18" s="1" t="s">
        <v>40</v>
      </c>
      <c r="J18" s="1" t="s">
        <v>41</v>
      </c>
      <c r="K18" s="1" t="s">
        <v>42</v>
      </c>
      <c r="L18" s="1" t="s">
        <v>39</v>
      </c>
      <c r="M18" s="1" t="s">
        <v>39</v>
      </c>
      <c r="N18" s="1" t="s">
        <v>43</v>
      </c>
    </row>
    <row r="19" spans="1:14" x14ac:dyDescent="0.25">
      <c r="A19" s="1" t="s">
        <v>112</v>
      </c>
      <c r="B19" s="1" t="s">
        <v>113</v>
      </c>
      <c r="C19" s="1" t="s">
        <v>113</v>
      </c>
      <c r="D19" s="1" t="s">
        <v>37</v>
      </c>
      <c r="E19" s="1" t="s">
        <v>38</v>
      </c>
      <c r="F19" s="1" t="s">
        <v>39</v>
      </c>
      <c r="G19" s="2">
        <v>-8</v>
      </c>
      <c r="H19" s="2">
        <v>8435774.6400000006</v>
      </c>
      <c r="I19" s="1" t="s">
        <v>40</v>
      </c>
      <c r="J19" s="1" t="s">
        <v>41</v>
      </c>
      <c r="K19" s="1" t="s">
        <v>42</v>
      </c>
      <c r="L19" s="1" t="s">
        <v>39</v>
      </c>
      <c r="M19" s="1" t="s">
        <v>39</v>
      </c>
      <c r="N19" s="1" t="s">
        <v>43</v>
      </c>
    </row>
    <row r="20" spans="1:14" x14ac:dyDescent="0.25">
      <c r="A20" s="1" t="s">
        <v>116</v>
      </c>
      <c r="B20" s="1" t="s">
        <v>117</v>
      </c>
      <c r="C20" s="1" t="s">
        <v>118</v>
      </c>
      <c r="D20" s="1" t="s">
        <v>37</v>
      </c>
      <c r="E20" s="1" t="s">
        <v>38</v>
      </c>
      <c r="F20" s="1" t="s">
        <v>39</v>
      </c>
      <c r="G20" s="2">
        <v>-63</v>
      </c>
      <c r="H20" s="2">
        <v>8436082.6400000006</v>
      </c>
      <c r="I20" s="1" t="s">
        <v>40</v>
      </c>
      <c r="J20" s="1" t="s">
        <v>41</v>
      </c>
      <c r="K20" s="1" t="s">
        <v>42</v>
      </c>
      <c r="L20" s="1" t="s">
        <v>39</v>
      </c>
      <c r="M20" s="1" t="s">
        <v>39</v>
      </c>
      <c r="N20" s="1" t="s">
        <v>43</v>
      </c>
    </row>
    <row r="21" spans="1:14" x14ac:dyDescent="0.25">
      <c r="A21" s="1" t="s">
        <v>120</v>
      </c>
      <c r="B21" s="1" t="s">
        <v>121</v>
      </c>
      <c r="C21" s="1" t="s">
        <v>122</v>
      </c>
      <c r="D21" s="1" t="s">
        <v>37</v>
      </c>
      <c r="E21" s="1" t="s">
        <v>38</v>
      </c>
      <c r="F21" s="1" t="s">
        <v>39</v>
      </c>
      <c r="G21" s="2">
        <v>-48</v>
      </c>
      <c r="H21" s="2">
        <v>8447145.6400000006</v>
      </c>
      <c r="I21" s="1" t="s">
        <v>40</v>
      </c>
      <c r="J21" s="1" t="s">
        <v>41</v>
      </c>
      <c r="K21" s="1" t="s">
        <v>42</v>
      </c>
      <c r="L21" s="1" t="s">
        <v>39</v>
      </c>
      <c r="M21" s="1" t="s">
        <v>39</v>
      </c>
      <c r="N21" s="1" t="s">
        <v>43</v>
      </c>
    </row>
    <row r="22" spans="1:14" x14ac:dyDescent="0.25">
      <c r="A22" s="1" t="s">
        <v>124</v>
      </c>
      <c r="B22" s="1" t="s">
        <v>125</v>
      </c>
      <c r="C22" s="1" t="s">
        <v>125</v>
      </c>
      <c r="D22" s="1" t="s">
        <v>37</v>
      </c>
      <c r="E22" s="1" t="s">
        <v>38</v>
      </c>
      <c r="F22" s="1" t="s">
        <v>39</v>
      </c>
      <c r="G22" s="2">
        <v>-48</v>
      </c>
      <c r="H22" s="2">
        <v>8453493.6400000006</v>
      </c>
      <c r="I22" s="1" t="s">
        <v>40</v>
      </c>
      <c r="J22" s="1" t="s">
        <v>41</v>
      </c>
      <c r="K22" s="1" t="s">
        <v>42</v>
      </c>
      <c r="L22" s="1" t="s">
        <v>39</v>
      </c>
      <c r="M22" s="1" t="s">
        <v>39</v>
      </c>
      <c r="N22" s="1" t="s">
        <v>43</v>
      </c>
    </row>
    <row r="23" spans="1:14" x14ac:dyDescent="0.25">
      <c r="A23" s="1" t="s">
        <v>127</v>
      </c>
      <c r="B23" s="1" t="s">
        <v>128</v>
      </c>
      <c r="C23" s="1" t="s">
        <v>128</v>
      </c>
      <c r="D23" s="1" t="s">
        <v>37</v>
      </c>
      <c r="E23" s="1" t="s">
        <v>38</v>
      </c>
      <c r="F23" s="1" t="s">
        <v>39</v>
      </c>
      <c r="G23" s="2">
        <v>-63</v>
      </c>
      <c r="H23" s="2">
        <v>8458691.6400000006</v>
      </c>
      <c r="I23" s="1" t="s">
        <v>40</v>
      </c>
      <c r="J23" s="1" t="s">
        <v>41</v>
      </c>
      <c r="K23" s="1" t="s">
        <v>42</v>
      </c>
      <c r="L23" s="1" t="s">
        <v>39</v>
      </c>
      <c r="M23" s="1" t="s">
        <v>39</v>
      </c>
      <c r="N23" s="1" t="s">
        <v>43</v>
      </c>
    </row>
    <row r="24" spans="1:14" x14ac:dyDescent="0.25">
      <c r="A24" s="1" t="s">
        <v>131</v>
      </c>
      <c r="B24" s="1" t="s">
        <v>132</v>
      </c>
      <c r="C24" s="1" t="s">
        <v>132</v>
      </c>
      <c r="D24" s="1" t="s">
        <v>37</v>
      </c>
      <c r="E24" s="1" t="s">
        <v>38</v>
      </c>
      <c r="F24" s="1" t="s">
        <v>39</v>
      </c>
      <c r="G24" s="2">
        <v>-54</v>
      </c>
      <c r="H24" s="2">
        <v>8470754.6400000006</v>
      </c>
      <c r="I24" s="1" t="s">
        <v>40</v>
      </c>
      <c r="J24" s="1" t="s">
        <v>41</v>
      </c>
      <c r="K24" s="1" t="s">
        <v>42</v>
      </c>
      <c r="L24" s="1" t="s">
        <v>39</v>
      </c>
      <c r="M24" s="1" t="s">
        <v>39</v>
      </c>
      <c r="N24" s="1" t="s">
        <v>43</v>
      </c>
    </row>
    <row r="25" spans="1:14" x14ac:dyDescent="0.25">
      <c r="A25" s="1" t="s">
        <v>134</v>
      </c>
      <c r="B25" s="1" t="s">
        <v>135</v>
      </c>
      <c r="C25" s="1" t="s">
        <v>135</v>
      </c>
      <c r="D25" s="1" t="s">
        <v>37</v>
      </c>
      <c r="E25" s="1" t="s">
        <v>38</v>
      </c>
      <c r="F25" s="1" t="s">
        <v>39</v>
      </c>
      <c r="G25" s="2">
        <v>-48</v>
      </c>
      <c r="H25" s="2">
        <v>8478708.6400000006</v>
      </c>
      <c r="I25" s="1" t="s">
        <v>40</v>
      </c>
      <c r="J25" s="1" t="s">
        <v>41</v>
      </c>
      <c r="K25" s="1" t="s">
        <v>42</v>
      </c>
      <c r="L25" s="1" t="s">
        <v>39</v>
      </c>
      <c r="M25" s="1" t="s">
        <v>39</v>
      </c>
      <c r="N25" s="1" t="s">
        <v>43</v>
      </c>
    </row>
    <row r="26" spans="1:14" x14ac:dyDescent="0.25">
      <c r="A26" s="1" t="s">
        <v>137</v>
      </c>
      <c r="B26" s="1" t="s">
        <v>138</v>
      </c>
      <c r="C26" s="1" t="s">
        <v>138</v>
      </c>
      <c r="D26" s="1" t="s">
        <v>37</v>
      </c>
      <c r="E26" s="1" t="s">
        <v>38</v>
      </c>
      <c r="F26" s="1" t="s">
        <v>39</v>
      </c>
      <c r="G26" s="2">
        <v>-30</v>
      </c>
      <c r="H26" s="2">
        <v>8484156.6400000006</v>
      </c>
      <c r="I26" s="1" t="s">
        <v>40</v>
      </c>
      <c r="J26" s="1" t="s">
        <v>41</v>
      </c>
      <c r="K26" s="1" t="s">
        <v>42</v>
      </c>
      <c r="L26" s="1" t="s">
        <v>39</v>
      </c>
      <c r="M26" s="1" t="s">
        <v>39</v>
      </c>
      <c r="N26" s="1" t="s">
        <v>43</v>
      </c>
    </row>
    <row r="27" spans="1:14" x14ac:dyDescent="0.25">
      <c r="A27" s="1" t="s">
        <v>140</v>
      </c>
      <c r="B27" s="1" t="s">
        <v>141</v>
      </c>
      <c r="C27" s="1" t="s">
        <v>141</v>
      </c>
      <c r="D27" s="1" t="s">
        <v>48</v>
      </c>
      <c r="E27" s="1" t="s">
        <v>38</v>
      </c>
      <c r="F27" s="1" t="s">
        <v>39</v>
      </c>
      <c r="G27" s="2">
        <v>-25</v>
      </c>
      <c r="H27" s="2">
        <v>8487536.6400000006</v>
      </c>
      <c r="I27" s="1" t="s">
        <v>40</v>
      </c>
      <c r="J27" s="1" t="s">
        <v>49</v>
      </c>
      <c r="K27" s="1" t="s">
        <v>42</v>
      </c>
      <c r="L27" s="1" t="s">
        <v>39</v>
      </c>
      <c r="M27" s="1" t="s">
        <v>39</v>
      </c>
      <c r="N27" s="1" t="s">
        <v>43</v>
      </c>
    </row>
    <row r="28" spans="1:14" x14ac:dyDescent="0.25">
      <c r="A28" s="1" t="s">
        <v>145</v>
      </c>
      <c r="B28" s="1" t="s">
        <v>146</v>
      </c>
      <c r="C28" s="1" t="s">
        <v>146</v>
      </c>
      <c r="D28" s="1" t="s">
        <v>48</v>
      </c>
      <c r="E28" s="1" t="s">
        <v>38</v>
      </c>
      <c r="F28" s="1" t="s">
        <v>39</v>
      </c>
      <c r="G28" s="2">
        <v>-79</v>
      </c>
      <c r="H28" s="2">
        <v>8489261.6400000006</v>
      </c>
      <c r="I28" s="1" t="s">
        <v>40</v>
      </c>
      <c r="J28" s="1" t="s">
        <v>49</v>
      </c>
      <c r="K28" s="1" t="s">
        <v>42</v>
      </c>
      <c r="L28" s="1" t="s">
        <v>39</v>
      </c>
      <c r="M28" s="1" t="s">
        <v>39</v>
      </c>
      <c r="N28" s="1" t="s">
        <v>43</v>
      </c>
    </row>
    <row r="29" spans="1:14" x14ac:dyDescent="0.25">
      <c r="A29" s="1" t="s">
        <v>149</v>
      </c>
      <c r="B29" s="1" t="s">
        <v>150</v>
      </c>
      <c r="C29" s="1" t="s">
        <v>150</v>
      </c>
      <c r="D29" s="1" t="s">
        <v>48</v>
      </c>
      <c r="E29" s="1" t="s">
        <v>38</v>
      </c>
      <c r="F29" s="1" t="s">
        <v>39</v>
      </c>
      <c r="G29" s="2">
        <v>-63</v>
      </c>
      <c r="H29" s="2">
        <v>8517140.6400000006</v>
      </c>
      <c r="I29" s="1" t="s">
        <v>40</v>
      </c>
      <c r="J29" s="1" t="s">
        <v>49</v>
      </c>
      <c r="K29" s="1" t="s">
        <v>42</v>
      </c>
      <c r="L29" s="1" t="s">
        <v>39</v>
      </c>
      <c r="M29" s="1" t="s">
        <v>39</v>
      </c>
      <c r="N29" s="1" t="s">
        <v>43</v>
      </c>
    </row>
    <row r="30" spans="1:14" x14ac:dyDescent="0.25">
      <c r="A30" s="1" t="s">
        <v>158</v>
      </c>
      <c r="B30" s="1" t="s">
        <v>159</v>
      </c>
      <c r="C30" s="1" t="s">
        <v>160</v>
      </c>
      <c r="D30" s="1" t="s">
        <v>48</v>
      </c>
      <c r="E30" s="1" t="s">
        <v>38</v>
      </c>
      <c r="F30" s="1" t="s">
        <v>39</v>
      </c>
      <c r="G30" s="2">
        <v>-39</v>
      </c>
      <c r="H30" s="2">
        <v>3532213.64</v>
      </c>
      <c r="I30" s="1" t="s">
        <v>40</v>
      </c>
      <c r="J30" s="1" t="s">
        <v>49</v>
      </c>
      <c r="K30" s="1" t="s">
        <v>42</v>
      </c>
      <c r="L30" s="1" t="s">
        <v>39</v>
      </c>
      <c r="M30" s="1" t="s">
        <v>39</v>
      </c>
      <c r="N30" s="1" t="s">
        <v>43</v>
      </c>
    </row>
    <row r="31" spans="1:14" x14ac:dyDescent="0.25">
      <c r="A31" s="1" t="s">
        <v>164</v>
      </c>
      <c r="B31" s="1" t="s">
        <v>165</v>
      </c>
      <c r="C31" s="1" t="s">
        <v>165</v>
      </c>
      <c r="D31" s="1" t="s">
        <v>37</v>
      </c>
      <c r="E31" s="1" t="s">
        <v>38</v>
      </c>
      <c r="F31" s="1" t="s">
        <v>39</v>
      </c>
      <c r="G31" s="2">
        <v>-3</v>
      </c>
      <c r="H31" s="2">
        <v>3532252.64</v>
      </c>
      <c r="I31" s="1" t="s">
        <v>40</v>
      </c>
      <c r="J31" s="1" t="s">
        <v>41</v>
      </c>
      <c r="K31" s="1" t="s">
        <v>42</v>
      </c>
      <c r="L31" s="1" t="s">
        <v>39</v>
      </c>
      <c r="M31" s="1" t="s">
        <v>39</v>
      </c>
      <c r="N31" s="1" t="s">
        <v>43</v>
      </c>
    </row>
    <row r="32" spans="1:14" x14ac:dyDescent="0.25">
      <c r="A32" s="1" t="s">
        <v>168</v>
      </c>
      <c r="B32" s="1" t="s">
        <v>169</v>
      </c>
      <c r="C32" s="1" t="s">
        <v>169</v>
      </c>
      <c r="D32" s="1" t="s">
        <v>37</v>
      </c>
      <c r="E32" s="1" t="s">
        <v>38</v>
      </c>
      <c r="F32" s="1" t="s">
        <v>39</v>
      </c>
      <c r="G32" s="2">
        <v>-48</v>
      </c>
      <c r="H32" s="2">
        <v>3532305.64</v>
      </c>
      <c r="I32" s="1" t="s">
        <v>40</v>
      </c>
      <c r="J32" s="1" t="s">
        <v>41</v>
      </c>
      <c r="K32" s="1" t="s">
        <v>42</v>
      </c>
      <c r="L32" s="1" t="s">
        <v>39</v>
      </c>
      <c r="M32" s="1" t="s">
        <v>39</v>
      </c>
      <c r="N32" s="1" t="s">
        <v>43</v>
      </c>
    </row>
    <row r="33" spans="1:14" x14ac:dyDescent="0.25">
      <c r="A33" s="1" t="s">
        <v>171</v>
      </c>
      <c r="B33" s="1" t="s">
        <v>172</v>
      </c>
      <c r="C33" s="1" t="s">
        <v>173</v>
      </c>
      <c r="D33" s="1" t="s">
        <v>48</v>
      </c>
      <c r="E33" s="1" t="s">
        <v>38</v>
      </c>
      <c r="F33" s="1" t="s">
        <v>39</v>
      </c>
      <c r="G33" s="2">
        <v>-48</v>
      </c>
      <c r="H33" s="2">
        <v>3538653.64</v>
      </c>
      <c r="I33" s="1" t="s">
        <v>40</v>
      </c>
      <c r="J33" s="1" t="s">
        <v>49</v>
      </c>
      <c r="K33" s="1" t="s">
        <v>42</v>
      </c>
      <c r="L33" s="1" t="s">
        <v>39</v>
      </c>
      <c r="M33" s="1" t="s">
        <v>39</v>
      </c>
      <c r="N33" s="1" t="s">
        <v>43</v>
      </c>
    </row>
    <row r="34" spans="1:14" x14ac:dyDescent="0.25">
      <c r="A34" s="1" t="s">
        <v>177</v>
      </c>
      <c r="B34" s="1" t="s">
        <v>178</v>
      </c>
      <c r="C34" s="1" t="s">
        <v>179</v>
      </c>
      <c r="D34" s="1" t="s">
        <v>37</v>
      </c>
      <c r="E34" s="1" t="s">
        <v>38</v>
      </c>
      <c r="F34" s="1" t="s">
        <v>39</v>
      </c>
      <c r="G34" s="2">
        <v>-8</v>
      </c>
      <c r="H34" s="2">
        <v>3544701.64</v>
      </c>
      <c r="I34" s="1" t="s">
        <v>40</v>
      </c>
      <c r="J34" s="1" t="s">
        <v>41</v>
      </c>
      <c r="K34" s="1" t="s">
        <v>42</v>
      </c>
      <c r="L34" s="1" t="s">
        <v>39</v>
      </c>
      <c r="M34" s="1" t="s">
        <v>39</v>
      </c>
      <c r="N34" s="1" t="s">
        <v>43</v>
      </c>
    </row>
    <row r="35" spans="1:14" x14ac:dyDescent="0.25">
      <c r="A35" s="1" t="s">
        <v>182</v>
      </c>
      <c r="B35" s="1" t="s">
        <v>183</v>
      </c>
      <c r="C35" s="1" t="s">
        <v>183</v>
      </c>
      <c r="D35" s="1" t="s">
        <v>37</v>
      </c>
      <c r="E35" s="1" t="s">
        <v>38</v>
      </c>
      <c r="F35" s="1" t="s">
        <v>39</v>
      </c>
      <c r="G35" s="2">
        <v>-2</v>
      </c>
      <c r="H35" s="2">
        <v>3545209.64</v>
      </c>
      <c r="I35" s="1" t="s">
        <v>40</v>
      </c>
      <c r="J35" s="1" t="s">
        <v>41</v>
      </c>
      <c r="K35" s="1" t="s">
        <v>42</v>
      </c>
      <c r="L35" s="1" t="s">
        <v>39</v>
      </c>
      <c r="M35" s="1" t="s">
        <v>39</v>
      </c>
      <c r="N35" s="1" t="s">
        <v>43</v>
      </c>
    </row>
    <row r="36" spans="1:14" x14ac:dyDescent="0.25">
      <c r="A36" s="1" t="s">
        <v>186</v>
      </c>
      <c r="B36" s="1" t="s">
        <v>187</v>
      </c>
      <c r="C36" s="1" t="s">
        <v>187</v>
      </c>
      <c r="D36" s="1" t="s">
        <v>48</v>
      </c>
      <c r="E36" s="1" t="s">
        <v>38</v>
      </c>
      <c r="F36" s="1" t="s">
        <v>39</v>
      </c>
      <c r="G36" s="2">
        <v>-68</v>
      </c>
      <c r="H36" s="2">
        <v>3545226.64</v>
      </c>
      <c r="I36" s="1" t="s">
        <v>40</v>
      </c>
      <c r="J36" s="1" t="s">
        <v>49</v>
      </c>
      <c r="K36" s="1" t="s">
        <v>42</v>
      </c>
      <c r="L36" s="1" t="s">
        <v>39</v>
      </c>
      <c r="M36" s="1" t="s">
        <v>39</v>
      </c>
      <c r="N36" s="1" t="s">
        <v>43</v>
      </c>
    </row>
    <row r="37" spans="1:14" x14ac:dyDescent="0.25">
      <c r="A37" s="1" t="s">
        <v>191</v>
      </c>
      <c r="B37" s="1" t="s">
        <v>192</v>
      </c>
      <c r="C37" s="1" t="s">
        <v>193</v>
      </c>
      <c r="D37" s="1" t="s">
        <v>48</v>
      </c>
      <c r="E37" s="1" t="s">
        <v>38</v>
      </c>
      <c r="F37" s="1" t="s">
        <v>39</v>
      </c>
      <c r="G37" s="2">
        <v>-68</v>
      </c>
      <c r="H37" s="2">
        <v>3580660.64</v>
      </c>
      <c r="I37" s="1" t="s">
        <v>40</v>
      </c>
      <c r="J37" s="1" t="s">
        <v>49</v>
      </c>
      <c r="K37" s="1" t="s">
        <v>42</v>
      </c>
      <c r="L37" s="1" t="s">
        <v>39</v>
      </c>
      <c r="M37" s="1" t="s">
        <v>39</v>
      </c>
      <c r="N37" s="1" t="s">
        <v>43</v>
      </c>
    </row>
    <row r="38" spans="1:14" x14ac:dyDescent="0.25">
      <c r="A38" s="1" t="s">
        <v>197</v>
      </c>
      <c r="B38" s="1" t="s">
        <v>198</v>
      </c>
      <c r="C38" s="1" t="s">
        <v>198</v>
      </c>
      <c r="D38" s="1" t="s">
        <v>37</v>
      </c>
      <c r="E38" s="1" t="s">
        <v>38</v>
      </c>
      <c r="F38" s="1" t="s">
        <v>39</v>
      </c>
      <c r="G38" s="2">
        <v>-8</v>
      </c>
      <c r="H38" s="2">
        <v>3580728.64</v>
      </c>
      <c r="I38" s="1" t="s">
        <v>40</v>
      </c>
      <c r="J38" s="1" t="s">
        <v>41</v>
      </c>
      <c r="K38" s="1" t="s">
        <v>42</v>
      </c>
      <c r="L38" s="1" t="s">
        <v>39</v>
      </c>
      <c r="M38" s="1" t="s">
        <v>39</v>
      </c>
      <c r="N38" s="1" t="s">
        <v>43</v>
      </c>
    </row>
    <row r="39" spans="1:14" x14ac:dyDescent="0.25">
      <c r="A39" s="1" t="s">
        <v>201</v>
      </c>
      <c r="B39" s="1" t="s">
        <v>202</v>
      </c>
      <c r="C39" s="1" t="s">
        <v>203</v>
      </c>
      <c r="D39" s="1" t="s">
        <v>48</v>
      </c>
      <c r="E39" s="1" t="s">
        <v>38</v>
      </c>
      <c r="F39" s="1" t="s">
        <v>39</v>
      </c>
      <c r="G39" s="2">
        <v>-8</v>
      </c>
      <c r="H39" s="2">
        <v>3581186.64</v>
      </c>
      <c r="I39" s="1" t="s">
        <v>40</v>
      </c>
      <c r="J39" s="1" t="s">
        <v>49</v>
      </c>
      <c r="K39" s="1" t="s">
        <v>42</v>
      </c>
      <c r="L39" s="1" t="s">
        <v>39</v>
      </c>
      <c r="M39" s="1" t="s">
        <v>39</v>
      </c>
      <c r="N39" s="1" t="s">
        <v>43</v>
      </c>
    </row>
    <row r="40" spans="1:14" x14ac:dyDescent="0.25">
      <c r="A40" s="1" t="s">
        <v>204</v>
      </c>
      <c r="B40" s="1" t="s">
        <v>205</v>
      </c>
      <c r="C40" s="1" t="s">
        <v>206</v>
      </c>
      <c r="D40" s="1" t="s">
        <v>48</v>
      </c>
      <c r="E40" s="1" t="s">
        <v>38</v>
      </c>
      <c r="F40" s="1" t="s">
        <v>39</v>
      </c>
      <c r="G40" s="2">
        <v>-54</v>
      </c>
      <c r="H40" s="2">
        <v>3589494.64</v>
      </c>
      <c r="I40" s="1" t="s">
        <v>40</v>
      </c>
      <c r="J40" s="1" t="s">
        <v>49</v>
      </c>
      <c r="K40" s="1" t="s">
        <v>42</v>
      </c>
      <c r="L40" s="1" t="s">
        <v>39</v>
      </c>
      <c r="M40" s="1" t="s">
        <v>39</v>
      </c>
      <c r="N40" s="1" t="s">
        <v>43</v>
      </c>
    </row>
    <row r="41" spans="1:14" x14ac:dyDescent="0.25">
      <c r="A41" s="1" t="s">
        <v>207</v>
      </c>
      <c r="B41" s="1" t="s">
        <v>208</v>
      </c>
      <c r="C41" s="1" t="s">
        <v>208</v>
      </c>
      <c r="D41" s="1" t="s">
        <v>37</v>
      </c>
      <c r="E41" s="1" t="s">
        <v>38</v>
      </c>
      <c r="F41" s="1" t="s">
        <v>39</v>
      </c>
      <c r="G41" s="2">
        <v>-3</v>
      </c>
      <c r="H41" s="2">
        <v>3589548.64</v>
      </c>
      <c r="I41" s="1" t="s">
        <v>40</v>
      </c>
      <c r="J41" s="1" t="s">
        <v>41</v>
      </c>
      <c r="K41" s="1" t="s">
        <v>42</v>
      </c>
      <c r="L41" s="1" t="s">
        <v>39</v>
      </c>
      <c r="M41" s="1" t="s">
        <v>39</v>
      </c>
      <c r="N41" s="1" t="s">
        <v>43</v>
      </c>
    </row>
    <row r="42" spans="1:14" x14ac:dyDescent="0.25">
      <c r="A42" s="1" t="s">
        <v>211</v>
      </c>
      <c r="B42" s="1" t="s">
        <v>212</v>
      </c>
      <c r="C42" s="1" t="s">
        <v>212</v>
      </c>
      <c r="D42" s="1" t="s">
        <v>37</v>
      </c>
      <c r="E42" s="1" t="s">
        <v>38</v>
      </c>
      <c r="F42" s="1" t="s">
        <v>39</v>
      </c>
      <c r="G42" s="2">
        <v>-3</v>
      </c>
      <c r="H42" s="2">
        <v>3589651.64</v>
      </c>
      <c r="I42" s="1" t="s">
        <v>40</v>
      </c>
      <c r="J42" s="1" t="s">
        <v>41</v>
      </c>
      <c r="K42" s="1" t="s">
        <v>42</v>
      </c>
      <c r="L42" s="1" t="s">
        <v>39</v>
      </c>
      <c r="M42" s="1" t="s">
        <v>39</v>
      </c>
      <c r="N42" s="1" t="s">
        <v>43</v>
      </c>
    </row>
    <row r="43" spans="1:14" x14ac:dyDescent="0.25">
      <c r="A43" s="1" t="s">
        <v>213</v>
      </c>
      <c r="B43" s="1" t="s">
        <v>214</v>
      </c>
      <c r="C43" s="1" t="s">
        <v>215</v>
      </c>
      <c r="D43" s="1" t="s">
        <v>48</v>
      </c>
      <c r="E43" s="1" t="s">
        <v>38</v>
      </c>
      <c r="F43" s="1" t="s">
        <v>39</v>
      </c>
      <c r="G43" s="2">
        <v>-13</v>
      </c>
      <c r="H43" s="2">
        <v>3590454.64</v>
      </c>
      <c r="I43" s="1" t="s">
        <v>40</v>
      </c>
      <c r="J43" s="1" t="s">
        <v>49</v>
      </c>
      <c r="K43" s="1" t="s">
        <v>42</v>
      </c>
      <c r="L43" s="1" t="s">
        <v>39</v>
      </c>
      <c r="M43" s="1" t="s">
        <v>39</v>
      </c>
      <c r="N43" s="1" t="s">
        <v>43</v>
      </c>
    </row>
    <row r="44" spans="1:14" x14ac:dyDescent="0.25">
      <c r="A44" s="1" t="s">
        <v>216</v>
      </c>
      <c r="B44" s="1" t="s">
        <v>217</v>
      </c>
      <c r="C44" s="1" t="s">
        <v>218</v>
      </c>
      <c r="D44" s="1" t="s">
        <v>48</v>
      </c>
      <c r="E44" s="1" t="s">
        <v>38</v>
      </c>
      <c r="F44" s="1" t="s">
        <v>39</v>
      </c>
      <c r="G44" s="2">
        <v>-115</v>
      </c>
      <c r="H44" s="2">
        <v>3657867.64</v>
      </c>
      <c r="I44" s="1" t="s">
        <v>40</v>
      </c>
      <c r="J44" s="1" t="s">
        <v>49</v>
      </c>
      <c r="K44" s="1" t="s">
        <v>42</v>
      </c>
      <c r="L44" s="1" t="s">
        <v>39</v>
      </c>
      <c r="M44" s="1" t="s">
        <v>39</v>
      </c>
      <c r="N44" s="1" t="s">
        <v>43</v>
      </c>
    </row>
    <row r="45" spans="1:14" x14ac:dyDescent="0.25">
      <c r="A45" s="1" t="s">
        <v>222</v>
      </c>
      <c r="B45" s="1" t="s">
        <v>223</v>
      </c>
      <c r="C45" s="1" t="s">
        <v>224</v>
      </c>
      <c r="D45" s="1" t="s">
        <v>48</v>
      </c>
      <c r="E45" s="1" t="s">
        <v>38</v>
      </c>
      <c r="F45" s="1" t="s">
        <v>39</v>
      </c>
      <c r="G45" s="2">
        <v>-63</v>
      </c>
      <c r="H45" s="2">
        <v>3657982.64</v>
      </c>
      <c r="I45" s="1" t="s">
        <v>40</v>
      </c>
      <c r="J45" s="1" t="s">
        <v>49</v>
      </c>
      <c r="K45" s="1" t="s">
        <v>42</v>
      </c>
      <c r="L45" s="1" t="s">
        <v>39</v>
      </c>
      <c r="M45" s="1" t="s">
        <v>39</v>
      </c>
      <c r="N45" s="1" t="s">
        <v>43</v>
      </c>
    </row>
    <row r="46" spans="1:14" x14ac:dyDescent="0.25">
      <c r="A46" s="1" t="s">
        <v>225</v>
      </c>
      <c r="B46" s="1" t="s">
        <v>226</v>
      </c>
      <c r="C46" s="1" t="s">
        <v>226</v>
      </c>
      <c r="D46" s="1" t="s">
        <v>48</v>
      </c>
      <c r="E46" s="1" t="s">
        <v>38</v>
      </c>
      <c r="F46" s="1" t="s">
        <v>39</v>
      </c>
      <c r="G46" s="2">
        <v>-8</v>
      </c>
      <c r="H46" s="2">
        <v>3670045.64</v>
      </c>
      <c r="I46" s="1" t="s">
        <v>40</v>
      </c>
      <c r="J46" s="1" t="s">
        <v>49</v>
      </c>
      <c r="K46" s="1" t="s">
        <v>42</v>
      </c>
      <c r="L46" s="1" t="s">
        <v>39</v>
      </c>
      <c r="M46" s="1" t="s">
        <v>39</v>
      </c>
      <c r="N46" s="1" t="s">
        <v>43</v>
      </c>
    </row>
    <row r="47" spans="1:14" x14ac:dyDescent="0.25">
      <c r="A47" s="1" t="s">
        <v>230</v>
      </c>
      <c r="B47" s="1" t="s">
        <v>231</v>
      </c>
      <c r="C47" s="1" t="s">
        <v>231</v>
      </c>
      <c r="D47" s="1" t="s">
        <v>48</v>
      </c>
      <c r="E47" s="1" t="s">
        <v>38</v>
      </c>
      <c r="F47" s="1" t="s">
        <v>39</v>
      </c>
      <c r="G47" s="2">
        <v>-110</v>
      </c>
      <c r="H47" s="2">
        <v>3670553.64</v>
      </c>
      <c r="I47" s="1" t="s">
        <v>40</v>
      </c>
      <c r="J47" s="1" t="s">
        <v>49</v>
      </c>
      <c r="K47" s="1" t="s">
        <v>42</v>
      </c>
      <c r="L47" s="1" t="s">
        <v>39</v>
      </c>
      <c r="M47" s="1" t="s">
        <v>39</v>
      </c>
      <c r="N47" s="1" t="s">
        <v>43</v>
      </c>
    </row>
    <row r="48" spans="1:14" x14ac:dyDescent="0.25">
      <c r="A48" s="1" t="s">
        <v>232</v>
      </c>
      <c r="B48" s="1" t="s">
        <v>233</v>
      </c>
      <c r="C48" s="1" t="s">
        <v>233</v>
      </c>
      <c r="D48" s="1" t="s">
        <v>37</v>
      </c>
      <c r="E48" s="1" t="s">
        <v>38</v>
      </c>
      <c r="F48" s="1" t="s">
        <v>39</v>
      </c>
      <c r="G48" s="2">
        <v>-25</v>
      </c>
      <c r="H48" s="2">
        <v>3712663.64</v>
      </c>
      <c r="I48" s="1" t="s">
        <v>40</v>
      </c>
      <c r="J48" s="1" t="s">
        <v>41</v>
      </c>
      <c r="K48" s="1" t="s">
        <v>42</v>
      </c>
      <c r="L48" s="1" t="s">
        <v>39</v>
      </c>
      <c r="M48" s="1" t="s">
        <v>39</v>
      </c>
      <c r="N48" s="1" t="s">
        <v>43</v>
      </c>
    </row>
    <row r="49" spans="1:14" x14ac:dyDescent="0.25">
      <c r="A49" s="1" t="s">
        <v>236</v>
      </c>
      <c r="B49" s="1" t="s">
        <v>237</v>
      </c>
      <c r="C49" s="1" t="s">
        <v>237</v>
      </c>
      <c r="D49" s="1" t="s">
        <v>37</v>
      </c>
      <c r="E49" s="1" t="s">
        <v>38</v>
      </c>
      <c r="F49" s="1" t="s">
        <v>39</v>
      </c>
      <c r="G49" s="2">
        <v>-13</v>
      </c>
      <c r="H49" s="2">
        <v>3714351.64</v>
      </c>
      <c r="I49" s="1" t="s">
        <v>40</v>
      </c>
      <c r="J49" s="1" t="s">
        <v>41</v>
      </c>
      <c r="K49" s="1" t="s">
        <v>42</v>
      </c>
      <c r="L49" s="1" t="s">
        <v>39</v>
      </c>
      <c r="M49" s="1" t="s">
        <v>39</v>
      </c>
      <c r="N49" s="1" t="s">
        <v>43</v>
      </c>
    </row>
    <row r="50" spans="1:14" x14ac:dyDescent="0.25">
      <c r="A50" s="1" t="s">
        <v>240</v>
      </c>
      <c r="B50" s="1" t="s">
        <v>241</v>
      </c>
      <c r="C50" s="1" t="s">
        <v>241</v>
      </c>
      <c r="D50" s="1" t="s">
        <v>48</v>
      </c>
      <c r="E50" s="1" t="s">
        <v>38</v>
      </c>
      <c r="F50" s="1" t="s">
        <v>39</v>
      </c>
      <c r="G50" s="2">
        <v>-68</v>
      </c>
      <c r="H50" s="2">
        <v>3715364.64</v>
      </c>
      <c r="I50" s="1" t="s">
        <v>40</v>
      </c>
      <c r="J50" s="1" t="s">
        <v>49</v>
      </c>
      <c r="K50" s="1" t="s">
        <v>42</v>
      </c>
      <c r="L50" s="1" t="s">
        <v>39</v>
      </c>
      <c r="M50" s="1" t="s">
        <v>39</v>
      </c>
      <c r="N50" s="1" t="s">
        <v>43</v>
      </c>
    </row>
    <row r="51" spans="1:14" x14ac:dyDescent="0.25">
      <c r="A51" s="1" t="s">
        <v>245</v>
      </c>
      <c r="B51" s="1" t="s">
        <v>246</v>
      </c>
      <c r="C51" s="1" t="s">
        <v>246</v>
      </c>
      <c r="D51" s="1" t="s">
        <v>48</v>
      </c>
      <c r="E51" s="1" t="s">
        <v>38</v>
      </c>
      <c r="F51" s="1" t="s">
        <v>39</v>
      </c>
      <c r="G51" s="2">
        <v>-8</v>
      </c>
      <c r="H51" s="2">
        <v>3735431.64</v>
      </c>
      <c r="I51" s="1" t="s">
        <v>40</v>
      </c>
      <c r="J51" s="1" t="s">
        <v>49</v>
      </c>
      <c r="K51" s="1" t="s">
        <v>42</v>
      </c>
      <c r="L51" s="1" t="s">
        <v>39</v>
      </c>
      <c r="M51" s="1" t="s">
        <v>39</v>
      </c>
      <c r="N51" s="1" t="s">
        <v>43</v>
      </c>
    </row>
    <row r="52" spans="1:14" x14ac:dyDescent="0.25">
      <c r="A52" s="1" t="s">
        <v>247</v>
      </c>
      <c r="B52" s="1" t="s">
        <v>248</v>
      </c>
      <c r="C52" s="1" t="s">
        <v>248</v>
      </c>
      <c r="D52" s="1" t="s">
        <v>48</v>
      </c>
      <c r="E52" s="1" t="s">
        <v>38</v>
      </c>
      <c r="F52" s="1" t="s">
        <v>39</v>
      </c>
      <c r="G52" s="2">
        <v>-74</v>
      </c>
      <c r="H52" s="2">
        <v>3735939.64</v>
      </c>
      <c r="I52" s="1" t="s">
        <v>40</v>
      </c>
      <c r="J52" s="1" t="s">
        <v>49</v>
      </c>
      <c r="K52" s="1" t="s">
        <v>42</v>
      </c>
      <c r="L52" s="1" t="s">
        <v>39</v>
      </c>
      <c r="M52" s="1" t="s">
        <v>39</v>
      </c>
      <c r="N52" s="1" t="s">
        <v>43</v>
      </c>
    </row>
    <row r="53" spans="1:14" x14ac:dyDescent="0.25">
      <c r="A53" s="1" t="s">
        <v>249</v>
      </c>
      <c r="B53" s="1" t="s">
        <v>250</v>
      </c>
      <c r="C53" s="1" t="s">
        <v>250</v>
      </c>
      <c r="D53" s="1" t="s">
        <v>37</v>
      </c>
      <c r="E53" s="1" t="s">
        <v>38</v>
      </c>
      <c r="F53" s="1" t="s">
        <v>39</v>
      </c>
      <c r="G53" s="2">
        <v>-30</v>
      </c>
      <c r="H53" s="2">
        <v>3760013.64</v>
      </c>
      <c r="I53" s="1" t="s">
        <v>40</v>
      </c>
      <c r="J53" s="1" t="s">
        <v>41</v>
      </c>
      <c r="K53" s="1" t="s">
        <v>42</v>
      </c>
      <c r="L53" s="1" t="s">
        <v>39</v>
      </c>
      <c r="M53" s="1" t="s">
        <v>39</v>
      </c>
      <c r="N53" s="1" t="s">
        <v>43</v>
      </c>
    </row>
    <row r="54" spans="1:14" x14ac:dyDescent="0.25">
      <c r="A54" s="1" t="s">
        <v>253</v>
      </c>
      <c r="B54" s="1" t="s">
        <v>254</v>
      </c>
      <c r="C54" s="1" t="s">
        <v>255</v>
      </c>
      <c r="D54" s="1" t="s">
        <v>37</v>
      </c>
      <c r="E54" s="1" t="s">
        <v>38</v>
      </c>
      <c r="F54" s="1" t="s">
        <v>39</v>
      </c>
      <c r="G54" s="2">
        <v>-30</v>
      </c>
      <c r="H54" s="2">
        <v>3763033.64</v>
      </c>
      <c r="I54" s="1" t="s">
        <v>40</v>
      </c>
      <c r="J54" s="1" t="s">
        <v>41</v>
      </c>
      <c r="K54" s="1" t="s">
        <v>42</v>
      </c>
      <c r="L54" s="1" t="s">
        <v>39</v>
      </c>
      <c r="M54" s="1" t="s">
        <v>39</v>
      </c>
      <c r="N54" s="1" t="s">
        <v>43</v>
      </c>
    </row>
    <row r="55" spans="1:14" x14ac:dyDescent="0.25">
      <c r="A55" s="1" t="s">
        <v>258</v>
      </c>
      <c r="B55" s="1" t="s">
        <v>259</v>
      </c>
      <c r="C55" s="1" t="s">
        <v>259</v>
      </c>
      <c r="D55" s="1" t="s">
        <v>48</v>
      </c>
      <c r="E55" s="1" t="s">
        <v>38</v>
      </c>
      <c r="F55" s="1" t="s">
        <v>39</v>
      </c>
      <c r="G55" s="2">
        <v>-68</v>
      </c>
      <c r="H55" s="2">
        <v>3766443.64</v>
      </c>
      <c r="I55" s="1" t="s">
        <v>40</v>
      </c>
      <c r="J55" s="1" t="s">
        <v>49</v>
      </c>
      <c r="K55" s="1" t="s">
        <v>42</v>
      </c>
      <c r="L55" s="1" t="s">
        <v>39</v>
      </c>
      <c r="M55" s="1" t="s">
        <v>39</v>
      </c>
      <c r="N55" s="1" t="s">
        <v>43</v>
      </c>
    </row>
    <row r="56" spans="1:14" x14ac:dyDescent="0.25">
      <c r="A56" s="1" t="s">
        <v>263</v>
      </c>
      <c r="B56" s="1" t="s">
        <v>264</v>
      </c>
      <c r="C56" s="1" t="s">
        <v>264</v>
      </c>
      <c r="D56" s="1" t="s">
        <v>37</v>
      </c>
      <c r="E56" s="1" t="s">
        <v>38</v>
      </c>
      <c r="F56" s="1" t="s">
        <v>39</v>
      </c>
      <c r="G56" s="2">
        <v>-68</v>
      </c>
      <c r="H56" s="2">
        <v>3782909.64</v>
      </c>
      <c r="I56" s="1" t="s">
        <v>40</v>
      </c>
      <c r="J56" s="1" t="s">
        <v>41</v>
      </c>
      <c r="K56" s="1" t="s">
        <v>42</v>
      </c>
      <c r="L56" s="1" t="s">
        <v>39</v>
      </c>
      <c r="M56" s="1" t="s">
        <v>39</v>
      </c>
      <c r="N56" s="1" t="s">
        <v>43</v>
      </c>
    </row>
    <row r="57" spans="1:14" x14ac:dyDescent="0.25">
      <c r="A57" s="1" t="s">
        <v>267</v>
      </c>
      <c r="B57" s="1" t="s">
        <v>268</v>
      </c>
      <c r="C57" s="1" t="s">
        <v>268</v>
      </c>
      <c r="D57" s="1" t="s">
        <v>37</v>
      </c>
      <c r="E57" s="1" t="s">
        <v>38</v>
      </c>
      <c r="F57" s="1" t="s">
        <v>39</v>
      </c>
      <c r="G57" s="2">
        <v>-8</v>
      </c>
      <c r="H57" s="2">
        <v>3802277.64</v>
      </c>
      <c r="I57" s="1" t="s">
        <v>40</v>
      </c>
      <c r="J57" s="1" t="s">
        <v>41</v>
      </c>
      <c r="K57" s="1" t="s">
        <v>42</v>
      </c>
      <c r="L57" s="1" t="s">
        <v>39</v>
      </c>
      <c r="M57" s="1" t="s">
        <v>39</v>
      </c>
      <c r="N57" s="1" t="s">
        <v>43</v>
      </c>
    </row>
    <row r="58" spans="1:14" x14ac:dyDescent="0.25">
      <c r="A58" s="1" t="s">
        <v>271</v>
      </c>
      <c r="B58" s="1" t="s">
        <v>272</v>
      </c>
      <c r="C58" s="1" t="s">
        <v>272</v>
      </c>
      <c r="D58" s="1" t="s">
        <v>37</v>
      </c>
      <c r="E58" s="1" t="s">
        <v>38</v>
      </c>
      <c r="F58" s="1" t="s">
        <v>39</v>
      </c>
      <c r="G58" s="2">
        <v>-25</v>
      </c>
      <c r="H58" s="2">
        <v>3802525.64</v>
      </c>
      <c r="I58" s="1" t="s">
        <v>40</v>
      </c>
      <c r="J58" s="1" t="s">
        <v>41</v>
      </c>
      <c r="K58" s="1" t="s">
        <v>42</v>
      </c>
      <c r="L58" s="1" t="s">
        <v>39</v>
      </c>
      <c r="M58" s="1" t="s">
        <v>39</v>
      </c>
      <c r="N58" s="1" t="s">
        <v>43</v>
      </c>
    </row>
    <row r="59" spans="1:14" x14ac:dyDescent="0.25">
      <c r="A59" s="1" t="s">
        <v>275</v>
      </c>
      <c r="B59" s="1" t="s">
        <v>276</v>
      </c>
      <c r="C59" s="1" t="s">
        <v>277</v>
      </c>
      <c r="D59" s="1" t="s">
        <v>48</v>
      </c>
      <c r="E59" s="1" t="s">
        <v>38</v>
      </c>
      <c r="F59" s="1" t="s">
        <v>39</v>
      </c>
      <c r="G59" s="2">
        <v>-13</v>
      </c>
      <c r="H59" s="2">
        <v>3805144.64</v>
      </c>
      <c r="I59" s="1" t="s">
        <v>40</v>
      </c>
      <c r="J59" s="1" t="s">
        <v>49</v>
      </c>
      <c r="K59" s="1" t="s">
        <v>42</v>
      </c>
      <c r="L59" s="1" t="s">
        <v>39</v>
      </c>
      <c r="M59" s="1" t="s">
        <v>39</v>
      </c>
      <c r="N59" s="1" t="s">
        <v>43</v>
      </c>
    </row>
    <row r="60" spans="1:14" x14ac:dyDescent="0.25">
      <c r="A60" s="1" t="s">
        <v>281</v>
      </c>
      <c r="B60" s="1" t="s">
        <v>277</v>
      </c>
      <c r="C60" s="1" t="s">
        <v>277</v>
      </c>
      <c r="D60" s="1" t="s">
        <v>48</v>
      </c>
      <c r="E60" s="1" t="s">
        <v>38</v>
      </c>
      <c r="F60" s="1" t="s">
        <v>39</v>
      </c>
      <c r="G60" s="2">
        <v>-30</v>
      </c>
      <c r="H60" s="2">
        <v>3805157.64</v>
      </c>
      <c r="I60" s="1" t="s">
        <v>40</v>
      </c>
      <c r="J60" s="1" t="s">
        <v>49</v>
      </c>
      <c r="K60" s="1" t="s">
        <v>42</v>
      </c>
      <c r="L60" s="1" t="s">
        <v>39</v>
      </c>
      <c r="M60" s="1" t="s">
        <v>39</v>
      </c>
      <c r="N60" s="1" t="s">
        <v>43</v>
      </c>
    </row>
    <row r="61" spans="1:14" x14ac:dyDescent="0.25">
      <c r="A61" s="1" t="s">
        <v>285</v>
      </c>
      <c r="B61" s="1" t="s">
        <v>286</v>
      </c>
      <c r="C61" s="1" t="s">
        <v>287</v>
      </c>
      <c r="D61" s="1" t="s">
        <v>48</v>
      </c>
      <c r="E61" s="1" t="s">
        <v>38</v>
      </c>
      <c r="F61" s="1" t="s">
        <v>39</v>
      </c>
      <c r="G61" s="2">
        <v>-25</v>
      </c>
      <c r="H61" s="2">
        <v>3810280.64</v>
      </c>
      <c r="I61" s="1" t="s">
        <v>40</v>
      </c>
      <c r="J61" s="1" t="s">
        <v>49</v>
      </c>
      <c r="K61" s="1" t="s">
        <v>42</v>
      </c>
      <c r="L61" s="1" t="s">
        <v>39</v>
      </c>
      <c r="M61" s="1" t="s">
        <v>39</v>
      </c>
      <c r="N61" s="1" t="s">
        <v>43</v>
      </c>
    </row>
    <row r="62" spans="1:14" x14ac:dyDescent="0.25">
      <c r="A62" s="1" t="s">
        <v>291</v>
      </c>
      <c r="B62" s="1" t="s">
        <v>286</v>
      </c>
      <c r="C62" s="1" t="s">
        <v>287</v>
      </c>
      <c r="D62" s="1" t="s">
        <v>48</v>
      </c>
      <c r="E62" s="1" t="s">
        <v>38</v>
      </c>
      <c r="F62" s="1" t="s">
        <v>39</v>
      </c>
      <c r="G62" s="2">
        <v>-18</v>
      </c>
      <c r="H62" s="2">
        <v>3810305.64</v>
      </c>
      <c r="I62" s="1" t="s">
        <v>40</v>
      </c>
      <c r="J62" s="1" t="s">
        <v>49</v>
      </c>
      <c r="K62" s="1" t="s">
        <v>42</v>
      </c>
      <c r="L62" s="1" t="s">
        <v>39</v>
      </c>
      <c r="M62" s="1" t="s">
        <v>39</v>
      </c>
      <c r="N62" s="1" t="s">
        <v>43</v>
      </c>
    </row>
    <row r="63" spans="1:14" x14ac:dyDescent="0.25">
      <c r="A63" s="1" t="s">
        <v>294</v>
      </c>
      <c r="B63" s="1" t="s">
        <v>287</v>
      </c>
      <c r="C63" s="1" t="s">
        <v>287</v>
      </c>
      <c r="D63" s="1" t="s">
        <v>48</v>
      </c>
      <c r="E63" s="1" t="s">
        <v>38</v>
      </c>
      <c r="F63" s="1" t="s">
        <v>39</v>
      </c>
      <c r="G63" s="2">
        <v>-68</v>
      </c>
      <c r="H63" s="2">
        <v>3811641.64</v>
      </c>
      <c r="I63" s="1" t="s">
        <v>40</v>
      </c>
      <c r="J63" s="1" t="s">
        <v>49</v>
      </c>
      <c r="K63" s="1" t="s">
        <v>42</v>
      </c>
      <c r="L63" s="1" t="s">
        <v>39</v>
      </c>
      <c r="M63" s="1" t="s">
        <v>39</v>
      </c>
      <c r="N63" s="1" t="s">
        <v>43</v>
      </c>
    </row>
    <row r="64" spans="1:14" x14ac:dyDescent="0.25">
      <c r="A64" s="1" t="s">
        <v>297</v>
      </c>
      <c r="B64" s="1" t="s">
        <v>298</v>
      </c>
      <c r="C64" s="1" t="s">
        <v>298</v>
      </c>
      <c r="D64" s="1" t="s">
        <v>48</v>
      </c>
      <c r="E64" s="1" t="s">
        <v>38</v>
      </c>
      <c r="F64" s="1" t="s">
        <v>39</v>
      </c>
      <c r="G64" s="2">
        <v>-13</v>
      </c>
      <c r="H64" s="2">
        <v>3826945.64</v>
      </c>
      <c r="I64" s="1" t="s">
        <v>40</v>
      </c>
      <c r="J64" s="1" t="s">
        <v>49</v>
      </c>
      <c r="K64" s="1" t="s">
        <v>42</v>
      </c>
      <c r="L64" s="1" t="s">
        <v>39</v>
      </c>
      <c r="M64" s="1" t="s">
        <v>39</v>
      </c>
      <c r="N64" s="1" t="s">
        <v>43</v>
      </c>
    </row>
    <row r="65" spans="1:14" x14ac:dyDescent="0.25">
      <c r="A65" s="1" t="s">
        <v>301</v>
      </c>
      <c r="B65" s="1" t="s">
        <v>302</v>
      </c>
      <c r="C65" s="1" t="s">
        <v>302</v>
      </c>
      <c r="D65" s="1" t="s">
        <v>48</v>
      </c>
      <c r="E65" s="1" t="s">
        <v>38</v>
      </c>
      <c r="F65" s="1" t="s">
        <v>39</v>
      </c>
      <c r="G65" s="2">
        <v>-39</v>
      </c>
      <c r="H65" s="2">
        <v>3827552.64</v>
      </c>
      <c r="I65" s="1" t="s">
        <v>40</v>
      </c>
      <c r="J65" s="1" t="s">
        <v>49</v>
      </c>
      <c r="K65" s="1" t="s">
        <v>42</v>
      </c>
      <c r="L65" s="1" t="s">
        <v>39</v>
      </c>
      <c r="M65" s="1" t="s">
        <v>39</v>
      </c>
      <c r="N65" s="1" t="s">
        <v>43</v>
      </c>
    </row>
    <row r="66" spans="1:14" x14ac:dyDescent="0.25">
      <c r="A66" s="1" t="s">
        <v>305</v>
      </c>
      <c r="B66" s="1" t="s">
        <v>306</v>
      </c>
      <c r="C66" s="1" t="s">
        <v>306</v>
      </c>
      <c r="D66" s="1" t="s">
        <v>48</v>
      </c>
      <c r="E66" s="1" t="s">
        <v>38</v>
      </c>
      <c r="F66" s="1" t="s">
        <v>39</v>
      </c>
      <c r="G66" s="2">
        <v>-48</v>
      </c>
      <c r="H66" s="2">
        <v>3832003.64</v>
      </c>
      <c r="I66" s="1" t="s">
        <v>40</v>
      </c>
      <c r="J66" s="1" t="s">
        <v>49</v>
      </c>
      <c r="K66" s="1" t="s">
        <v>42</v>
      </c>
      <c r="L66" s="1" t="s">
        <v>39</v>
      </c>
      <c r="M66" s="1" t="s">
        <v>39</v>
      </c>
      <c r="N66" s="1" t="s">
        <v>43</v>
      </c>
    </row>
    <row r="67" spans="1:14" x14ac:dyDescent="0.25">
      <c r="A67" s="1" t="s">
        <v>309</v>
      </c>
      <c r="B67" s="1" t="s">
        <v>310</v>
      </c>
      <c r="C67" s="1" t="s">
        <v>310</v>
      </c>
      <c r="D67" s="1" t="s">
        <v>48</v>
      </c>
      <c r="E67" s="1" t="s">
        <v>38</v>
      </c>
      <c r="F67" s="1" t="s">
        <v>39</v>
      </c>
      <c r="G67" s="2">
        <v>-8</v>
      </c>
      <c r="H67" s="2">
        <v>3838860.64</v>
      </c>
      <c r="I67" s="1" t="s">
        <v>40</v>
      </c>
      <c r="J67" s="1" t="s">
        <v>49</v>
      </c>
      <c r="K67" s="1" t="s">
        <v>42</v>
      </c>
      <c r="L67" s="1" t="s">
        <v>39</v>
      </c>
      <c r="M67" s="1" t="s">
        <v>39</v>
      </c>
      <c r="N67" s="1" t="s">
        <v>43</v>
      </c>
    </row>
    <row r="68" spans="1:14" x14ac:dyDescent="0.25">
      <c r="A68" s="1" t="s">
        <v>313</v>
      </c>
      <c r="B68" s="1" t="s">
        <v>314</v>
      </c>
      <c r="C68" s="1" t="s">
        <v>314</v>
      </c>
      <c r="D68" s="1" t="s">
        <v>48</v>
      </c>
      <c r="E68" s="1" t="s">
        <v>38</v>
      </c>
      <c r="F68" s="1" t="s">
        <v>39</v>
      </c>
      <c r="G68" s="2">
        <v>-48</v>
      </c>
      <c r="H68" s="2">
        <v>3839186.64</v>
      </c>
      <c r="I68" s="1" t="s">
        <v>40</v>
      </c>
      <c r="J68" s="1" t="s">
        <v>49</v>
      </c>
      <c r="K68" s="1" t="s">
        <v>42</v>
      </c>
      <c r="L68" s="1" t="s">
        <v>39</v>
      </c>
      <c r="M68" s="1" t="s">
        <v>39</v>
      </c>
      <c r="N68" s="1" t="s">
        <v>43</v>
      </c>
    </row>
    <row r="69" spans="1:14" x14ac:dyDescent="0.25">
      <c r="A69" s="1" t="s">
        <v>317</v>
      </c>
      <c r="B69" s="1" t="s">
        <v>314</v>
      </c>
      <c r="C69" s="1" t="s">
        <v>318</v>
      </c>
      <c r="D69" s="1" t="s">
        <v>48</v>
      </c>
      <c r="E69" s="1" t="s">
        <v>38</v>
      </c>
      <c r="F69" s="1" t="s">
        <v>39</v>
      </c>
      <c r="G69" s="2">
        <v>-68</v>
      </c>
      <c r="H69" s="2">
        <v>3865026.64</v>
      </c>
      <c r="I69" s="1" t="s">
        <v>40</v>
      </c>
      <c r="J69" s="1" t="s">
        <v>49</v>
      </c>
      <c r="K69" s="1" t="s">
        <v>42</v>
      </c>
      <c r="L69" s="1" t="s">
        <v>39</v>
      </c>
      <c r="M69" s="1" t="s">
        <v>39</v>
      </c>
      <c r="N69" s="1" t="s">
        <v>43</v>
      </c>
    </row>
    <row r="70" spans="1:14" x14ac:dyDescent="0.25">
      <c r="A70" s="1" t="s">
        <v>321</v>
      </c>
      <c r="B70" s="1" t="s">
        <v>314</v>
      </c>
      <c r="C70" s="1" t="s">
        <v>314</v>
      </c>
      <c r="D70" s="1" t="s">
        <v>48</v>
      </c>
      <c r="E70" s="1" t="s">
        <v>38</v>
      </c>
      <c r="F70" s="1" t="s">
        <v>39</v>
      </c>
      <c r="G70" s="2">
        <v>-25</v>
      </c>
      <c r="H70" s="2">
        <v>3865094.64</v>
      </c>
      <c r="I70" s="1" t="s">
        <v>40</v>
      </c>
      <c r="J70" s="1" t="s">
        <v>49</v>
      </c>
      <c r="K70" s="1" t="s">
        <v>42</v>
      </c>
      <c r="L70" s="1" t="s">
        <v>39</v>
      </c>
      <c r="M70" s="1" t="s">
        <v>39</v>
      </c>
      <c r="N70" s="1" t="s">
        <v>43</v>
      </c>
    </row>
    <row r="71" spans="1:14" x14ac:dyDescent="0.25">
      <c r="A71" s="1" t="s">
        <v>324</v>
      </c>
      <c r="B71" s="1" t="s">
        <v>325</v>
      </c>
      <c r="C71" s="1" t="s">
        <v>325</v>
      </c>
      <c r="D71" s="1" t="s">
        <v>48</v>
      </c>
      <c r="E71" s="1" t="s">
        <v>38</v>
      </c>
      <c r="F71" s="1" t="s">
        <v>39</v>
      </c>
      <c r="G71" s="2">
        <v>-74</v>
      </c>
      <c r="H71" s="2">
        <v>3867449.64</v>
      </c>
      <c r="I71" s="1" t="s">
        <v>40</v>
      </c>
      <c r="J71" s="1" t="s">
        <v>49</v>
      </c>
      <c r="K71" s="1" t="s">
        <v>42</v>
      </c>
      <c r="L71" s="1" t="s">
        <v>39</v>
      </c>
      <c r="M71" s="1" t="s">
        <v>39</v>
      </c>
      <c r="N71" s="1" t="s">
        <v>43</v>
      </c>
    </row>
    <row r="72" spans="1:14" x14ac:dyDescent="0.25">
      <c r="A72" s="1" t="s">
        <v>328</v>
      </c>
      <c r="B72" s="1" t="s">
        <v>329</v>
      </c>
      <c r="C72" s="1" t="s">
        <v>329</v>
      </c>
      <c r="D72" s="1" t="s">
        <v>48</v>
      </c>
      <c r="E72" s="1" t="s">
        <v>38</v>
      </c>
      <c r="F72" s="1" t="s">
        <v>39</v>
      </c>
      <c r="G72" s="2">
        <v>-13</v>
      </c>
      <c r="H72" s="2">
        <v>3889323.64</v>
      </c>
      <c r="I72" s="1" t="s">
        <v>40</v>
      </c>
      <c r="J72" s="1" t="s">
        <v>49</v>
      </c>
      <c r="K72" s="1" t="s">
        <v>42</v>
      </c>
      <c r="L72" s="1" t="s">
        <v>39</v>
      </c>
      <c r="M72" s="1" t="s">
        <v>39</v>
      </c>
      <c r="N72" s="1" t="s">
        <v>43</v>
      </c>
    </row>
    <row r="73" spans="1:14" x14ac:dyDescent="0.25">
      <c r="A73" s="1" t="s">
        <v>332</v>
      </c>
      <c r="B73" s="1" t="s">
        <v>333</v>
      </c>
      <c r="C73" s="1" t="s">
        <v>334</v>
      </c>
      <c r="D73" s="1" t="s">
        <v>48</v>
      </c>
      <c r="E73" s="1" t="s">
        <v>38</v>
      </c>
      <c r="F73" s="1" t="s">
        <v>39</v>
      </c>
      <c r="G73" s="2">
        <v>-48</v>
      </c>
      <c r="H73" s="2">
        <v>3890059.64</v>
      </c>
      <c r="I73" s="1" t="s">
        <v>40</v>
      </c>
      <c r="J73" s="1" t="s">
        <v>49</v>
      </c>
      <c r="K73" s="1" t="s">
        <v>42</v>
      </c>
      <c r="L73" s="1" t="s">
        <v>39</v>
      </c>
      <c r="M73" s="1" t="s">
        <v>39</v>
      </c>
      <c r="N73" s="1" t="s">
        <v>43</v>
      </c>
    </row>
    <row r="74" spans="1:14" x14ac:dyDescent="0.25">
      <c r="A74" s="1" t="s">
        <v>337</v>
      </c>
      <c r="B74" s="1" t="s">
        <v>338</v>
      </c>
      <c r="C74" s="1" t="s">
        <v>338</v>
      </c>
      <c r="D74" s="1" t="s">
        <v>48</v>
      </c>
      <c r="E74" s="1" t="s">
        <v>38</v>
      </c>
      <c r="F74" s="1" t="s">
        <v>39</v>
      </c>
      <c r="G74" s="2">
        <v>-63</v>
      </c>
      <c r="H74" s="2">
        <v>3896423.64</v>
      </c>
      <c r="I74" s="1" t="s">
        <v>40</v>
      </c>
      <c r="J74" s="1" t="s">
        <v>49</v>
      </c>
      <c r="K74" s="1" t="s">
        <v>42</v>
      </c>
      <c r="L74" s="1" t="s">
        <v>39</v>
      </c>
      <c r="M74" s="1" t="s">
        <v>39</v>
      </c>
      <c r="N74" s="1" t="s">
        <v>43</v>
      </c>
    </row>
    <row r="75" spans="1:14" x14ac:dyDescent="0.25">
      <c r="A75" s="1" t="s">
        <v>341</v>
      </c>
      <c r="B75" s="1" t="s">
        <v>338</v>
      </c>
      <c r="C75" s="1" t="s">
        <v>342</v>
      </c>
      <c r="D75" s="1" t="s">
        <v>48</v>
      </c>
      <c r="E75" s="1" t="s">
        <v>38</v>
      </c>
      <c r="F75" s="1" t="s">
        <v>39</v>
      </c>
      <c r="G75" s="2">
        <v>-48</v>
      </c>
      <c r="H75" s="2">
        <v>3915295.64</v>
      </c>
      <c r="I75" s="1" t="s">
        <v>40</v>
      </c>
      <c r="J75" s="1" t="s">
        <v>49</v>
      </c>
      <c r="K75" s="1" t="s">
        <v>42</v>
      </c>
      <c r="L75" s="1" t="s">
        <v>39</v>
      </c>
      <c r="M75" s="1" t="s">
        <v>39</v>
      </c>
      <c r="N75" s="1" t="s">
        <v>43</v>
      </c>
    </row>
    <row r="76" spans="1:14" x14ac:dyDescent="0.25">
      <c r="A76" s="1" t="s">
        <v>345</v>
      </c>
      <c r="B76" s="1" t="s">
        <v>346</v>
      </c>
      <c r="C76" s="1" t="s">
        <v>346</v>
      </c>
      <c r="D76" s="1" t="s">
        <v>48</v>
      </c>
      <c r="E76" s="1" t="s">
        <v>38</v>
      </c>
      <c r="F76" s="1" t="s">
        <v>39</v>
      </c>
      <c r="G76" s="2">
        <v>-54</v>
      </c>
      <c r="H76" s="2">
        <v>3915343.64</v>
      </c>
      <c r="I76" s="1" t="s">
        <v>40</v>
      </c>
      <c r="J76" s="1" t="s">
        <v>49</v>
      </c>
      <c r="K76" s="1" t="s">
        <v>42</v>
      </c>
      <c r="L76" s="1" t="s">
        <v>39</v>
      </c>
      <c r="M76" s="1" t="s">
        <v>39</v>
      </c>
      <c r="N76" s="1" t="s">
        <v>43</v>
      </c>
    </row>
    <row r="77" spans="1:14" x14ac:dyDescent="0.25">
      <c r="A77" s="1" t="s">
        <v>349</v>
      </c>
      <c r="B77" s="1" t="s">
        <v>350</v>
      </c>
      <c r="C77" s="1" t="s">
        <v>350</v>
      </c>
      <c r="D77" s="1" t="s">
        <v>48</v>
      </c>
      <c r="E77" s="1" t="s">
        <v>38</v>
      </c>
      <c r="F77" s="1" t="s">
        <v>39</v>
      </c>
      <c r="G77" s="2">
        <v>-39</v>
      </c>
      <c r="H77" s="2">
        <v>3924038.64</v>
      </c>
      <c r="I77" s="1" t="s">
        <v>40</v>
      </c>
      <c r="J77" s="1" t="s">
        <v>49</v>
      </c>
      <c r="K77" s="1" t="s">
        <v>42</v>
      </c>
      <c r="L77" s="1" t="s">
        <v>39</v>
      </c>
      <c r="M77" s="1" t="s">
        <v>39</v>
      </c>
      <c r="N77" s="1" t="s">
        <v>43</v>
      </c>
    </row>
    <row r="78" spans="1:14" x14ac:dyDescent="0.25">
      <c r="A78" s="1" t="s">
        <v>353</v>
      </c>
      <c r="B78" s="1" t="s">
        <v>342</v>
      </c>
      <c r="C78" s="1" t="s">
        <v>354</v>
      </c>
      <c r="D78" s="1" t="s">
        <v>48</v>
      </c>
      <c r="E78" s="1" t="s">
        <v>38</v>
      </c>
      <c r="F78" s="1" t="s">
        <v>39</v>
      </c>
      <c r="G78" s="2">
        <v>-74</v>
      </c>
      <c r="H78" s="2">
        <v>3927914.64</v>
      </c>
      <c r="I78" s="1" t="s">
        <v>40</v>
      </c>
      <c r="J78" s="1" t="s">
        <v>49</v>
      </c>
      <c r="K78" s="1" t="s">
        <v>42</v>
      </c>
      <c r="L78" s="1" t="s">
        <v>39</v>
      </c>
      <c r="M78" s="1" t="s">
        <v>39</v>
      </c>
      <c r="N78" s="1" t="s">
        <v>43</v>
      </c>
    </row>
    <row r="79" spans="1:14" x14ac:dyDescent="0.25">
      <c r="A79" s="1" t="s">
        <v>357</v>
      </c>
      <c r="B79" s="1" t="s">
        <v>354</v>
      </c>
      <c r="C79" s="1" t="s">
        <v>358</v>
      </c>
      <c r="D79" s="1" t="s">
        <v>48</v>
      </c>
      <c r="E79" s="1" t="s">
        <v>38</v>
      </c>
      <c r="F79" s="1" t="s">
        <v>39</v>
      </c>
      <c r="G79" s="2">
        <v>-13</v>
      </c>
      <c r="H79" s="2">
        <v>3951863.64</v>
      </c>
      <c r="I79" s="1" t="s">
        <v>40</v>
      </c>
      <c r="J79" s="1" t="s">
        <v>49</v>
      </c>
      <c r="K79" s="1" t="s">
        <v>42</v>
      </c>
      <c r="L79" s="1" t="s">
        <v>39</v>
      </c>
      <c r="M79" s="1" t="s">
        <v>39</v>
      </c>
      <c r="N79" s="1" t="s">
        <v>43</v>
      </c>
    </row>
    <row r="80" spans="1:14" x14ac:dyDescent="0.25">
      <c r="A80" s="1" t="s">
        <v>361</v>
      </c>
      <c r="B80" s="1" t="s">
        <v>354</v>
      </c>
      <c r="C80" s="1" t="s">
        <v>354</v>
      </c>
      <c r="D80" s="1" t="s">
        <v>48</v>
      </c>
      <c r="E80" s="1" t="s">
        <v>38</v>
      </c>
      <c r="F80" s="1" t="s">
        <v>39</v>
      </c>
      <c r="G80" s="2">
        <v>-25</v>
      </c>
      <c r="H80" s="2">
        <v>3952736.64</v>
      </c>
      <c r="I80" s="1" t="s">
        <v>40</v>
      </c>
      <c r="J80" s="1" t="s">
        <v>49</v>
      </c>
      <c r="K80" s="1" t="s">
        <v>42</v>
      </c>
      <c r="L80" s="1" t="s">
        <v>39</v>
      </c>
      <c r="M80" s="1" t="s">
        <v>39</v>
      </c>
      <c r="N80" s="1" t="s">
        <v>43</v>
      </c>
    </row>
    <row r="81" spans="1:14" x14ac:dyDescent="0.25">
      <c r="A81" s="1" t="s">
        <v>364</v>
      </c>
      <c r="B81" s="1" t="s">
        <v>358</v>
      </c>
      <c r="C81" s="1" t="s">
        <v>358</v>
      </c>
      <c r="D81" s="1" t="s">
        <v>48</v>
      </c>
      <c r="E81" s="1" t="s">
        <v>38</v>
      </c>
      <c r="F81" s="1" t="s">
        <v>39</v>
      </c>
      <c r="G81" s="2">
        <v>-74</v>
      </c>
      <c r="H81" s="2">
        <v>3955116.64</v>
      </c>
      <c r="I81" s="1" t="s">
        <v>40</v>
      </c>
      <c r="J81" s="1" t="s">
        <v>49</v>
      </c>
      <c r="K81" s="1" t="s">
        <v>42</v>
      </c>
      <c r="L81" s="1" t="s">
        <v>39</v>
      </c>
      <c r="M81" s="1" t="s">
        <v>39</v>
      </c>
      <c r="N81" s="1" t="s">
        <v>43</v>
      </c>
    </row>
    <row r="82" spans="1:14" x14ac:dyDescent="0.25">
      <c r="A82" s="1" t="s">
        <v>367</v>
      </c>
      <c r="B82" s="1" t="s">
        <v>368</v>
      </c>
      <c r="C82" s="1" t="s">
        <v>368</v>
      </c>
      <c r="D82" s="1" t="s">
        <v>37</v>
      </c>
      <c r="E82" s="1" t="s">
        <v>38</v>
      </c>
      <c r="F82" s="1" t="s">
        <v>39</v>
      </c>
      <c r="G82" s="2">
        <v>-3</v>
      </c>
      <c r="H82" s="2">
        <v>3976474.64</v>
      </c>
      <c r="I82" s="1" t="s">
        <v>40</v>
      </c>
      <c r="J82" s="1" t="s">
        <v>41</v>
      </c>
      <c r="K82" s="1" t="s">
        <v>42</v>
      </c>
      <c r="L82" s="1" t="s">
        <v>39</v>
      </c>
      <c r="M82" s="1" t="s">
        <v>39</v>
      </c>
      <c r="N82" s="1" t="s">
        <v>43</v>
      </c>
    </row>
    <row r="83" spans="1:14" x14ac:dyDescent="0.25">
      <c r="A83" s="1" t="s">
        <v>371</v>
      </c>
      <c r="B83" s="1" t="s">
        <v>372</v>
      </c>
      <c r="C83" s="1" t="s">
        <v>372</v>
      </c>
      <c r="D83" s="1" t="s">
        <v>37</v>
      </c>
      <c r="E83" s="1" t="s">
        <v>38</v>
      </c>
      <c r="F83" s="1" t="s">
        <v>39</v>
      </c>
      <c r="G83" s="2">
        <v>-8</v>
      </c>
      <c r="H83" s="2">
        <v>3976572.64</v>
      </c>
      <c r="I83" s="1" t="s">
        <v>40</v>
      </c>
      <c r="J83" s="1" t="s">
        <v>41</v>
      </c>
      <c r="K83" s="1" t="s">
        <v>42</v>
      </c>
      <c r="L83" s="1" t="s">
        <v>39</v>
      </c>
      <c r="M83" s="1" t="s">
        <v>39</v>
      </c>
      <c r="N83" s="1" t="s">
        <v>43</v>
      </c>
    </row>
    <row r="84" spans="1:14" x14ac:dyDescent="0.25">
      <c r="A84" s="1" t="s">
        <v>375</v>
      </c>
      <c r="B84" s="1" t="s">
        <v>376</v>
      </c>
      <c r="C84" s="1" t="s">
        <v>377</v>
      </c>
      <c r="D84" s="1" t="s">
        <v>48</v>
      </c>
      <c r="E84" s="1" t="s">
        <v>38</v>
      </c>
      <c r="F84" s="1" t="s">
        <v>39</v>
      </c>
      <c r="G84" s="2">
        <v>-8</v>
      </c>
      <c r="H84" s="2">
        <v>3976880.64</v>
      </c>
      <c r="I84" s="1" t="s">
        <v>40</v>
      </c>
      <c r="J84" s="1" t="s">
        <v>49</v>
      </c>
      <c r="K84" s="1" t="s">
        <v>42</v>
      </c>
      <c r="L84" s="1" t="s">
        <v>39</v>
      </c>
      <c r="M84" s="1" t="s">
        <v>39</v>
      </c>
      <c r="N84" s="1" t="s">
        <v>43</v>
      </c>
    </row>
    <row r="85" spans="1:14" x14ac:dyDescent="0.25">
      <c r="A85" s="1" t="s">
        <v>380</v>
      </c>
      <c r="B85" s="1" t="s">
        <v>381</v>
      </c>
      <c r="C85" s="1" t="s">
        <v>381</v>
      </c>
      <c r="D85" s="1" t="s">
        <v>48</v>
      </c>
      <c r="E85" s="1" t="s">
        <v>38</v>
      </c>
      <c r="F85" s="1" t="s">
        <v>39</v>
      </c>
      <c r="G85" s="2">
        <v>-63</v>
      </c>
      <c r="H85" s="2">
        <v>3977275.64</v>
      </c>
      <c r="I85" s="1" t="s">
        <v>40</v>
      </c>
      <c r="J85" s="1" t="s">
        <v>49</v>
      </c>
      <c r="K85" s="1" t="s">
        <v>42</v>
      </c>
      <c r="L85" s="1" t="s">
        <v>39</v>
      </c>
      <c r="M85" s="1" t="s">
        <v>39</v>
      </c>
      <c r="N85" s="1" t="s">
        <v>43</v>
      </c>
    </row>
    <row r="86" spans="1:14" x14ac:dyDescent="0.25">
      <c r="A86" s="1" t="s">
        <v>384</v>
      </c>
      <c r="B86" s="1" t="s">
        <v>385</v>
      </c>
      <c r="C86" s="1" t="s">
        <v>386</v>
      </c>
      <c r="D86" s="1" t="s">
        <v>48</v>
      </c>
      <c r="E86" s="1" t="s">
        <v>38</v>
      </c>
      <c r="F86" s="1" t="s">
        <v>39</v>
      </c>
      <c r="G86" s="2">
        <v>-25</v>
      </c>
      <c r="H86" s="2">
        <v>3990341.64</v>
      </c>
      <c r="I86" s="1" t="s">
        <v>40</v>
      </c>
      <c r="J86" s="1" t="s">
        <v>49</v>
      </c>
      <c r="K86" s="1" t="s">
        <v>42</v>
      </c>
      <c r="L86" s="1" t="s">
        <v>39</v>
      </c>
      <c r="M86" s="1" t="s">
        <v>39</v>
      </c>
      <c r="N86" s="1" t="s">
        <v>43</v>
      </c>
    </row>
    <row r="87" spans="1:14" x14ac:dyDescent="0.25">
      <c r="A87" s="1" t="s">
        <v>389</v>
      </c>
      <c r="B87" s="1" t="s">
        <v>386</v>
      </c>
      <c r="C87" s="1" t="s">
        <v>386</v>
      </c>
      <c r="D87" s="1" t="s">
        <v>48</v>
      </c>
      <c r="E87" s="1" t="s">
        <v>38</v>
      </c>
      <c r="F87" s="1" t="s">
        <v>39</v>
      </c>
      <c r="G87" s="2">
        <v>-39</v>
      </c>
      <c r="H87" s="2">
        <v>3990366.64</v>
      </c>
      <c r="I87" s="1" t="s">
        <v>40</v>
      </c>
      <c r="J87" s="1" t="s">
        <v>49</v>
      </c>
      <c r="K87" s="1" t="s">
        <v>42</v>
      </c>
      <c r="L87" s="1" t="s">
        <v>39</v>
      </c>
      <c r="M87" s="1" t="s">
        <v>39</v>
      </c>
      <c r="N87" s="1" t="s">
        <v>43</v>
      </c>
    </row>
    <row r="88" spans="1:14" x14ac:dyDescent="0.25">
      <c r="A88" s="1" t="s">
        <v>392</v>
      </c>
      <c r="B88" s="1" t="s">
        <v>393</v>
      </c>
      <c r="C88" s="1" t="s">
        <v>394</v>
      </c>
      <c r="D88" s="1" t="s">
        <v>48</v>
      </c>
      <c r="E88" s="1" t="s">
        <v>38</v>
      </c>
      <c r="F88" s="1" t="s">
        <v>39</v>
      </c>
      <c r="G88" s="2">
        <v>-54</v>
      </c>
      <c r="H88" s="2">
        <v>3994060.64</v>
      </c>
      <c r="I88" s="1" t="s">
        <v>40</v>
      </c>
      <c r="J88" s="1" t="s">
        <v>49</v>
      </c>
      <c r="K88" s="1" t="s">
        <v>42</v>
      </c>
      <c r="L88" s="1" t="s">
        <v>39</v>
      </c>
      <c r="M88" s="1" t="s">
        <v>39</v>
      </c>
      <c r="N88" s="1" t="s">
        <v>43</v>
      </c>
    </row>
    <row r="89" spans="1:14" x14ac:dyDescent="0.25">
      <c r="A89" s="1" t="s">
        <v>397</v>
      </c>
      <c r="B89" s="1" t="s">
        <v>398</v>
      </c>
      <c r="C89" s="1" t="s">
        <v>398</v>
      </c>
      <c r="D89" s="1" t="s">
        <v>48</v>
      </c>
      <c r="E89" s="1" t="s">
        <v>38</v>
      </c>
      <c r="F89" s="1" t="s">
        <v>39</v>
      </c>
      <c r="G89" s="2">
        <v>-30</v>
      </c>
      <c r="H89" s="2">
        <v>4003404.64</v>
      </c>
      <c r="I89" s="1" t="s">
        <v>40</v>
      </c>
      <c r="J89" s="1" t="s">
        <v>49</v>
      </c>
      <c r="K89" s="1" t="s">
        <v>42</v>
      </c>
      <c r="L89" s="1" t="s">
        <v>39</v>
      </c>
      <c r="M89" s="1" t="s">
        <v>39</v>
      </c>
      <c r="N89" s="1" t="s">
        <v>43</v>
      </c>
    </row>
    <row r="90" spans="1:14" x14ac:dyDescent="0.25">
      <c r="A90" s="1" t="s">
        <v>401</v>
      </c>
      <c r="B90" s="1" t="s">
        <v>402</v>
      </c>
      <c r="C90" s="1" t="s">
        <v>402</v>
      </c>
      <c r="D90" s="1" t="s">
        <v>48</v>
      </c>
      <c r="E90" s="1" t="s">
        <v>38</v>
      </c>
      <c r="F90" s="1" t="s">
        <v>39</v>
      </c>
      <c r="G90" s="2">
        <v>-68</v>
      </c>
      <c r="H90" s="2">
        <v>4006441.64</v>
      </c>
      <c r="I90" s="1" t="s">
        <v>40</v>
      </c>
      <c r="J90" s="1" t="s">
        <v>49</v>
      </c>
      <c r="K90" s="1" t="s">
        <v>42</v>
      </c>
      <c r="L90" s="1" t="s">
        <v>39</v>
      </c>
      <c r="M90" s="1" t="s">
        <v>39</v>
      </c>
      <c r="N90" s="1" t="s">
        <v>43</v>
      </c>
    </row>
    <row r="91" spans="1:14" x14ac:dyDescent="0.25">
      <c r="A91" s="1" t="s">
        <v>405</v>
      </c>
      <c r="B91" s="1" t="s">
        <v>406</v>
      </c>
      <c r="C91" s="1" t="s">
        <v>406</v>
      </c>
      <c r="D91" s="1" t="s">
        <v>48</v>
      </c>
      <c r="E91" s="1" t="s">
        <v>38</v>
      </c>
      <c r="F91" s="1" t="s">
        <v>39</v>
      </c>
      <c r="G91" s="2">
        <v>-79</v>
      </c>
      <c r="H91" s="2">
        <v>4024229.64</v>
      </c>
      <c r="I91" s="1" t="s">
        <v>40</v>
      </c>
      <c r="J91" s="1" t="s">
        <v>49</v>
      </c>
      <c r="K91" s="1" t="s">
        <v>42</v>
      </c>
      <c r="L91" s="1" t="s">
        <v>39</v>
      </c>
      <c r="M91" s="1" t="s">
        <v>39</v>
      </c>
      <c r="N91" s="1" t="s">
        <v>43</v>
      </c>
    </row>
    <row r="92" spans="1:14" x14ac:dyDescent="0.25">
      <c r="A92" s="1" t="s">
        <v>409</v>
      </c>
      <c r="B92" s="1" t="s">
        <v>410</v>
      </c>
      <c r="C92" s="1" t="s">
        <v>410</v>
      </c>
      <c r="D92" s="1" t="s">
        <v>48</v>
      </c>
      <c r="E92" s="1" t="s">
        <v>38</v>
      </c>
      <c r="F92" s="1" t="s">
        <v>39</v>
      </c>
      <c r="G92" s="2">
        <v>-39</v>
      </c>
      <c r="H92" s="2">
        <v>4051977.64</v>
      </c>
      <c r="I92" s="1" t="s">
        <v>40</v>
      </c>
      <c r="J92" s="1" t="s">
        <v>49</v>
      </c>
      <c r="K92" s="1" t="s">
        <v>42</v>
      </c>
      <c r="L92" s="1" t="s">
        <v>39</v>
      </c>
      <c r="M92" s="1" t="s">
        <v>39</v>
      </c>
      <c r="N92" s="1" t="s">
        <v>43</v>
      </c>
    </row>
    <row r="93" spans="1:14" x14ac:dyDescent="0.25">
      <c r="A93" s="1" t="s">
        <v>413</v>
      </c>
      <c r="B93" s="1" t="s">
        <v>414</v>
      </c>
      <c r="C93" s="1" t="s">
        <v>414</v>
      </c>
      <c r="D93" s="1" t="s">
        <v>48</v>
      </c>
      <c r="E93" s="1" t="s">
        <v>38</v>
      </c>
      <c r="F93" s="1" t="s">
        <v>39</v>
      </c>
      <c r="G93" s="2">
        <v>-48</v>
      </c>
      <c r="H93" s="2">
        <v>4055769.64</v>
      </c>
      <c r="I93" s="1" t="s">
        <v>40</v>
      </c>
      <c r="J93" s="1" t="s">
        <v>49</v>
      </c>
      <c r="K93" s="1" t="s">
        <v>42</v>
      </c>
      <c r="L93" s="1" t="s">
        <v>39</v>
      </c>
      <c r="M93" s="1" t="s">
        <v>39</v>
      </c>
      <c r="N93" s="1" t="s">
        <v>43</v>
      </c>
    </row>
    <row r="94" spans="1:14" x14ac:dyDescent="0.25">
      <c r="A94" s="1" t="s">
        <v>417</v>
      </c>
      <c r="B94" s="1" t="s">
        <v>418</v>
      </c>
      <c r="C94" s="1" t="s">
        <v>418</v>
      </c>
      <c r="D94" s="1" t="s">
        <v>48</v>
      </c>
      <c r="E94" s="1" t="s">
        <v>38</v>
      </c>
      <c r="F94" s="1" t="s">
        <v>39</v>
      </c>
      <c r="G94" s="2">
        <v>-39</v>
      </c>
      <c r="H94" s="2">
        <v>4061053.64</v>
      </c>
      <c r="I94" s="1" t="s">
        <v>40</v>
      </c>
      <c r="J94" s="1" t="s">
        <v>49</v>
      </c>
      <c r="K94" s="1" t="s">
        <v>42</v>
      </c>
      <c r="L94" s="1" t="s">
        <v>39</v>
      </c>
      <c r="M94" s="1" t="s">
        <v>39</v>
      </c>
      <c r="N94" s="1" t="s">
        <v>43</v>
      </c>
    </row>
    <row r="95" spans="1:14" x14ac:dyDescent="0.25">
      <c r="A95" s="1" t="s">
        <v>421</v>
      </c>
      <c r="B95" s="1" t="s">
        <v>422</v>
      </c>
      <c r="C95" s="1" t="s">
        <v>422</v>
      </c>
      <c r="D95" s="1" t="s">
        <v>48</v>
      </c>
      <c r="E95" s="1" t="s">
        <v>38</v>
      </c>
      <c r="F95" s="1" t="s">
        <v>39</v>
      </c>
      <c r="G95" s="2">
        <v>-68</v>
      </c>
      <c r="H95" s="2">
        <v>4065980.64</v>
      </c>
      <c r="I95" s="1" t="s">
        <v>40</v>
      </c>
      <c r="J95" s="1" t="s">
        <v>49</v>
      </c>
      <c r="K95" s="1" t="s">
        <v>42</v>
      </c>
      <c r="L95" s="1" t="s">
        <v>39</v>
      </c>
      <c r="M95" s="1" t="s">
        <v>39</v>
      </c>
      <c r="N95" s="1" t="s">
        <v>43</v>
      </c>
    </row>
    <row r="96" spans="1:14" x14ac:dyDescent="0.25">
      <c r="A96" s="1" t="s">
        <v>425</v>
      </c>
      <c r="B96" s="1" t="s">
        <v>422</v>
      </c>
      <c r="C96" s="1" t="s">
        <v>422</v>
      </c>
      <c r="D96" s="1" t="s">
        <v>48</v>
      </c>
      <c r="E96" s="1" t="s">
        <v>38</v>
      </c>
      <c r="F96" s="1" t="s">
        <v>39</v>
      </c>
      <c r="G96" s="2">
        <v>-74</v>
      </c>
      <c r="H96" s="2">
        <v>4082719.64</v>
      </c>
      <c r="I96" s="1" t="s">
        <v>40</v>
      </c>
      <c r="J96" s="1" t="s">
        <v>49</v>
      </c>
      <c r="K96" s="1" t="s">
        <v>42</v>
      </c>
      <c r="L96" s="1" t="s">
        <v>39</v>
      </c>
      <c r="M96" s="1" t="s">
        <v>39</v>
      </c>
      <c r="N96" s="1" t="s">
        <v>43</v>
      </c>
    </row>
    <row r="97" spans="1:14" x14ac:dyDescent="0.25">
      <c r="A97" s="1" t="s">
        <v>428</v>
      </c>
      <c r="B97" s="1" t="s">
        <v>429</v>
      </c>
      <c r="C97" s="1" t="s">
        <v>429</v>
      </c>
      <c r="D97" s="1" t="s">
        <v>48</v>
      </c>
      <c r="E97" s="1" t="s">
        <v>38</v>
      </c>
      <c r="F97" s="1" t="s">
        <v>39</v>
      </c>
      <c r="G97" s="2">
        <v>-68</v>
      </c>
      <c r="H97" s="2">
        <v>4107399.64</v>
      </c>
      <c r="I97" s="1" t="s">
        <v>40</v>
      </c>
      <c r="J97" s="1" t="s">
        <v>49</v>
      </c>
      <c r="K97" s="1" t="s">
        <v>42</v>
      </c>
      <c r="L97" s="1" t="s">
        <v>39</v>
      </c>
      <c r="M97" s="1" t="s">
        <v>39</v>
      </c>
      <c r="N97" s="1" t="s">
        <v>43</v>
      </c>
    </row>
    <row r="98" spans="1:14" x14ac:dyDescent="0.25">
      <c r="A98" s="1" t="s">
        <v>432</v>
      </c>
      <c r="B98" s="1" t="s">
        <v>433</v>
      </c>
      <c r="C98" s="1" t="s">
        <v>433</v>
      </c>
      <c r="D98" s="1" t="s">
        <v>48</v>
      </c>
      <c r="E98" s="1" t="s">
        <v>38</v>
      </c>
      <c r="F98" s="1" t="s">
        <v>39</v>
      </c>
      <c r="G98" s="2">
        <v>-48</v>
      </c>
      <c r="H98" s="2">
        <v>4124937.64</v>
      </c>
      <c r="I98" s="1" t="s">
        <v>40</v>
      </c>
      <c r="J98" s="1" t="s">
        <v>49</v>
      </c>
      <c r="K98" s="1" t="s">
        <v>42</v>
      </c>
      <c r="L98" s="1" t="s">
        <v>39</v>
      </c>
      <c r="M98" s="1" t="s">
        <v>39</v>
      </c>
      <c r="N98" s="1" t="s">
        <v>43</v>
      </c>
    </row>
    <row r="99" spans="1:14" x14ac:dyDescent="0.25">
      <c r="A99" s="1" t="s">
        <v>436</v>
      </c>
      <c r="B99" s="1" t="s">
        <v>433</v>
      </c>
      <c r="C99" s="1" t="s">
        <v>433</v>
      </c>
      <c r="D99" s="1" t="s">
        <v>48</v>
      </c>
      <c r="E99" s="1" t="s">
        <v>38</v>
      </c>
      <c r="F99" s="1" t="s">
        <v>39</v>
      </c>
      <c r="G99" s="2">
        <v>-63</v>
      </c>
      <c r="H99" s="2">
        <v>4131188.64</v>
      </c>
      <c r="I99" s="1" t="s">
        <v>40</v>
      </c>
      <c r="J99" s="1" t="s">
        <v>49</v>
      </c>
      <c r="K99" s="1" t="s">
        <v>42</v>
      </c>
      <c r="L99" s="1" t="s">
        <v>39</v>
      </c>
      <c r="M99" s="1" t="s">
        <v>39</v>
      </c>
      <c r="N99" s="1" t="s">
        <v>43</v>
      </c>
    </row>
    <row r="100" spans="1:14" x14ac:dyDescent="0.25">
      <c r="A100" s="1" t="s">
        <v>439</v>
      </c>
      <c r="B100" s="1" t="s">
        <v>440</v>
      </c>
      <c r="C100" s="1" t="s">
        <v>440</v>
      </c>
      <c r="D100" s="1" t="s">
        <v>48</v>
      </c>
      <c r="E100" s="1" t="s">
        <v>38</v>
      </c>
      <c r="F100" s="1" t="s">
        <v>39</v>
      </c>
      <c r="G100" s="2">
        <v>-79</v>
      </c>
      <c r="H100" s="2">
        <v>4142000.64</v>
      </c>
      <c r="I100" s="1" t="s">
        <v>40</v>
      </c>
      <c r="J100" s="1" t="s">
        <v>49</v>
      </c>
      <c r="K100" s="1" t="s">
        <v>42</v>
      </c>
      <c r="L100" s="1" t="s">
        <v>39</v>
      </c>
      <c r="M100" s="1" t="s">
        <v>39</v>
      </c>
      <c r="N100" s="1" t="s">
        <v>43</v>
      </c>
    </row>
    <row r="101" spans="1:14" x14ac:dyDescent="0.25">
      <c r="A101" s="1" t="s">
        <v>443</v>
      </c>
      <c r="B101" s="1" t="s">
        <v>444</v>
      </c>
      <c r="C101" s="1" t="s">
        <v>445</v>
      </c>
      <c r="D101" s="1" t="s">
        <v>48</v>
      </c>
      <c r="E101" s="1" t="s">
        <v>38</v>
      </c>
      <c r="F101" s="1" t="s">
        <v>39</v>
      </c>
      <c r="G101" s="2">
        <v>-63</v>
      </c>
      <c r="H101" s="2">
        <v>4167554.64</v>
      </c>
      <c r="I101" s="1" t="s">
        <v>40</v>
      </c>
      <c r="J101" s="1" t="s">
        <v>49</v>
      </c>
      <c r="K101" s="1" t="s">
        <v>42</v>
      </c>
      <c r="L101" s="1" t="s">
        <v>39</v>
      </c>
      <c r="M101" s="1" t="s">
        <v>39</v>
      </c>
      <c r="N101" s="1" t="s">
        <v>43</v>
      </c>
    </row>
    <row r="102" spans="1:14" x14ac:dyDescent="0.25">
      <c r="A102" s="1" t="s">
        <v>448</v>
      </c>
      <c r="B102" s="1" t="s">
        <v>449</v>
      </c>
      <c r="C102" s="1" t="s">
        <v>449</v>
      </c>
      <c r="D102" s="1" t="s">
        <v>37</v>
      </c>
      <c r="E102" s="1" t="s">
        <v>38</v>
      </c>
      <c r="F102" s="1" t="s">
        <v>39</v>
      </c>
      <c r="G102" s="2">
        <v>-25</v>
      </c>
      <c r="H102" s="2">
        <v>4178005.64</v>
      </c>
      <c r="I102" s="1" t="s">
        <v>40</v>
      </c>
      <c r="J102" s="1" t="s">
        <v>41</v>
      </c>
      <c r="K102" s="1" t="s">
        <v>42</v>
      </c>
      <c r="L102" s="1" t="s">
        <v>39</v>
      </c>
      <c r="M102" s="1" t="s">
        <v>39</v>
      </c>
      <c r="N102" s="1" t="s">
        <v>43</v>
      </c>
    </row>
    <row r="103" spans="1:14" x14ac:dyDescent="0.25">
      <c r="A103" s="1" t="s">
        <v>452</v>
      </c>
      <c r="B103" s="1" t="s">
        <v>453</v>
      </c>
      <c r="C103" s="1" t="s">
        <v>453</v>
      </c>
      <c r="D103" s="1" t="s">
        <v>37</v>
      </c>
      <c r="E103" s="1" t="s">
        <v>38</v>
      </c>
      <c r="F103" s="1" t="s">
        <v>39</v>
      </c>
      <c r="G103" s="2">
        <v>-8</v>
      </c>
      <c r="H103" s="2">
        <v>4180325.64</v>
      </c>
      <c r="I103" s="1" t="s">
        <v>40</v>
      </c>
      <c r="J103" s="1" t="s">
        <v>41</v>
      </c>
      <c r="K103" s="1" t="s">
        <v>42</v>
      </c>
      <c r="L103" s="1" t="s">
        <v>39</v>
      </c>
      <c r="M103" s="1" t="s">
        <v>39</v>
      </c>
      <c r="N103" s="1" t="s">
        <v>43</v>
      </c>
    </row>
    <row r="104" spans="1:14" x14ac:dyDescent="0.25">
      <c r="A104" s="1" t="s">
        <v>456</v>
      </c>
      <c r="B104" s="1" t="s">
        <v>457</v>
      </c>
      <c r="C104" s="1" t="s">
        <v>457</v>
      </c>
      <c r="D104" s="1" t="s">
        <v>37</v>
      </c>
      <c r="E104" s="1" t="s">
        <v>38</v>
      </c>
      <c r="F104" s="1" t="s">
        <v>39</v>
      </c>
      <c r="G104" s="2">
        <v>-8</v>
      </c>
      <c r="H104" s="2">
        <v>4180558.64</v>
      </c>
      <c r="I104" s="1" t="s">
        <v>40</v>
      </c>
      <c r="J104" s="1" t="s">
        <v>41</v>
      </c>
      <c r="K104" s="1" t="s">
        <v>42</v>
      </c>
      <c r="L104" s="1" t="s">
        <v>39</v>
      </c>
      <c r="M104" s="1" t="s">
        <v>39</v>
      </c>
      <c r="N104" s="1" t="s">
        <v>43</v>
      </c>
    </row>
    <row r="105" spans="1:14" x14ac:dyDescent="0.25">
      <c r="A105" s="1" t="s">
        <v>460</v>
      </c>
      <c r="B105" s="1" t="s">
        <v>461</v>
      </c>
      <c r="C105" s="1" t="s">
        <v>461</v>
      </c>
      <c r="D105" s="1" t="s">
        <v>48</v>
      </c>
      <c r="E105" s="1" t="s">
        <v>38</v>
      </c>
      <c r="F105" s="1" t="s">
        <v>39</v>
      </c>
      <c r="G105" s="2">
        <v>-115</v>
      </c>
      <c r="H105" s="2">
        <v>4180876.64</v>
      </c>
      <c r="I105" s="1" t="s">
        <v>40</v>
      </c>
      <c r="J105" s="1" t="s">
        <v>49</v>
      </c>
      <c r="K105" s="1" t="s">
        <v>42</v>
      </c>
      <c r="L105" s="1" t="s">
        <v>39</v>
      </c>
      <c r="M105" s="1" t="s">
        <v>39</v>
      </c>
      <c r="N105" s="1" t="s">
        <v>43</v>
      </c>
    </row>
    <row r="106" spans="1:14" x14ac:dyDescent="0.25">
      <c r="A106" s="1" t="s">
        <v>465</v>
      </c>
      <c r="B106" s="1" t="s">
        <v>466</v>
      </c>
      <c r="C106" s="1" t="s">
        <v>466</v>
      </c>
      <c r="D106" s="1" t="s">
        <v>48</v>
      </c>
      <c r="E106" s="1" t="s">
        <v>38</v>
      </c>
      <c r="F106" s="1" t="s">
        <v>39</v>
      </c>
      <c r="G106" s="2">
        <v>-115</v>
      </c>
      <c r="H106" s="2">
        <v>4254593.6399999997</v>
      </c>
      <c r="I106" s="1" t="s">
        <v>40</v>
      </c>
      <c r="J106" s="1" t="s">
        <v>49</v>
      </c>
      <c r="K106" s="1" t="s">
        <v>42</v>
      </c>
      <c r="L106" s="1" t="s">
        <v>39</v>
      </c>
      <c r="M106" s="1" t="s">
        <v>39</v>
      </c>
      <c r="N106" s="1" t="s">
        <v>43</v>
      </c>
    </row>
    <row r="107" spans="1:14" x14ac:dyDescent="0.25">
      <c r="A107" s="1" t="s">
        <v>469</v>
      </c>
      <c r="B107" s="1" t="s">
        <v>470</v>
      </c>
      <c r="C107" s="1" t="s">
        <v>470</v>
      </c>
      <c r="D107" s="1" t="s">
        <v>37</v>
      </c>
      <c r="E107" s="1" t="s">
        <v>38</v>
      </c>
      <c r="F107" s="1" t="s">
        <v>39</v>
      </c>
      <c r="G107" s="2">
        <v>-63</v>
      </c>
      <c r="H107" s="2">
        <v>4346708.6399999997</v>
      </c>
      <c r="I107" s="1" t="s">
        <v>40</v>
      </c>
      <c r="J107" s="1" t="s">
        <v>41</v>
      </c>
      <c r="K107" s="1" t="s">
        <v>42</v>
      </c>
      <c r="L107" s="1" t="s">
        <v>39</v>
      </c>
      <c r="M107" s="1" t="s">
        <v>39</v>
      </c>
      <c r="N107" s="1" t="s">
        <v>43</v>
      </c>
    </row>
    <row r="108" spans="1:14" x14ac:dyDescent="0.25">
      <c r="A108" s="1" t="s">
        <v>473</v>
      </c>
      <c r="B108" s="1" t="s">
        <v>474</v>
      </c>
      <c r="C108" s="1" t="s">
        <v>474</v>
      </c>
      <c r="D108" s="1" t="s">
        <v>37</v>
      </c>
      <c r="E108" s="1" t="s">
        <v>38</v>
      </c>
      <c r="F108" s="1" t="s">
        <v>39</v>
      </c>
      <c r="G108" s="2">
        <v>-79</v>
      </c>
      <c r="H108" s="2">
        <v>4358630.6399999997</v>
      </c>
      <c r="I108" s="1" t="s">
        <v>40</v>
      </c>
      <c r="J108" s="1" t="s">
        <v>41</v>
      </c>
      <c r="K108" s="1" t="s">
        <v>42</v>
      </c>
      <c r="L108" s="1" t="s">
        <v>39</v>
      </c>
      <c r="M108" s="1" t="s">
        <v>39</v>
      </c>
      <c r="N108" s="1" t="s">
        <v>43</v>
      </c>
    </row>
    <row r="109" spans="1:14" x14ac:dyDescent="0.25">
      <c r="A109" s="1" t="s">
        <v>477</v>
      </c>
      <c r="B109" s="1" t="s">
        <v>478</v>
      </c>
      <c r="C109" s="1" t="s">
        <v>479</v>
      </c>
      <c r="D109" s="1" t="s">
        <v>48</v>
      </c>
      <c r="E109" s="1" t="s">
        <v>38</v>
      </c>
      <c r="F109" s="1" t="s">
        <v>39</v>
      </c>
      <c r="G109" s="2">
        <v>-79</v>
      </c>
      <c r="H109" s="2">
        <v>4388709.6399999997</v>
      </c>
      <c r="I109" s="1" t="s">
        <v>40</v>
      </c>
      <c r="J109" s="1" t="s">
        <v>49</v>
      </c>
      <c r="K109" s="1" t="s">
        <v>42</v>
      </c>
      <c r="L109" s="1" t="s">
        <v>39</v>
      </c>
      <c r="M109" s="1" t="s">
        <v>39</v>
      </c>
      <c r="N109" s="1" t="s">
        <v>43</v>
      </c>
    </row>
    <row r="110" spans="1:14" x14ac:dyDescent="0.25">
      <c r="A110" s="1" t="s">
        <v>482</v>
      </c>
      <c r="B110" s="1" t="s">
        <v>483</v>
      </c>
      <c r="C110" s="1" t="s">
        <v>484</v>
      </c>
      <c r="D110" s="1" t="s">
        <v>48</v>
      </c>
      <c r="E110" s="1" t="s">
        <v>38</v>
      </c>
      <c r="F110" s="1" t="s">
        <v>39</v>
      </c>
      <c r="G110" s="2">
        <v>-30</v>
      </c>
      <c r="H110" s="2">
        <v>4414166.6399999997</v>
      </c>
      <c r="I110" s="1" t="s">
        <v>40</v>
      </c>
      <c r="J110" s="1" t="s">
        <v>49</v>
      </c>
      <c r="K110" s="1" t="s">
        <v>42</v>
      </c>
      <c r="L110" s="1" t="s">
        <v>39</v>
      </c>
      <c r="M110" s="1" t="s">
        <v>39</v>
      </c>
      <c r="N110" s="1" t="s">
        <v>43</v>
      </c>
    </row>
    <row r="111" spans="1:14" x14ac:dyDescent="0.25">
      <c r="A111" s="1" t="s">
        <v>487</v>
      </c>
      <c r="B111" s="1" t="s">
        <v>479</v>
      </c>
      <c r="C111" s="1" t="s">
        <v>479</v>
      </c>
      <c r="D111" s="1" t="s">
        <v>48</v>
      </c>
      <c r="E111" s="1" t="s">
        <v>38</v>
      </c>
      <c r="F111" s="1" t="s">
        <v>39</v>
      </c>
      <c r="G111" s="2">
        <v>-63</v>
      </c>
      <c r="H111" s="2">
        <v>4417681.6399999997</v>
      </c>
      <c r="I111" s="1" t="s">
        <v>40</v>
      </c>
      <c r="J111" s="1" t="s">
        <v>49</v>
      </c>
      <c r="K111" s="1" t="s">
        <v>42</v>
      </c>
      <c r="L111" s="1" t="s">
        <v>39</v>
      </c>
      <c r="M111" s="1" t="s">
        <v>39</v>
      </c>
      <c r="N111" s="1" t="s">
        <v>43</v>
      </c>
    </row>
    <row r="112" spans="1:14" x14ac:dyDescent="0.25">
      <c r="A112" s="1" t="s">
        <v>490</v>
      </c>
      <c r="B112" s="1" t="s">
        <v>479</v>
      </c>
      <c r="C112" s="1" t="s">
        <v>491</v>
      </c>
      <c r="D112" s="1" t="s">
        <v>48</v>
      </c>
      <c r="E112" s="1" t="s">
        <v>38</v>
      </c>
      <c r="F112" s="1" t="s">
        <v>39</v>
      </c>
      <c r="G112" s="2">
        <v>-30</v>
      </c>
      <c r="H112" s="2">
        <v>4431076.6399999997</v>
      </c>
      <c r="I112" s="1" t="s">
        <v>40</v>
      </c>
      <c r="J112" s="1" t="s">
        <v>49</v>
      </c>
      <c r="K112" s="1" t="s">
        <v>42</v>
      </c>
      <c r="L112" s="1" t="s">
        <v>39</v>
      </c>
      <c r="M112" s="1" t="s">
        <v>39</v>
      </c>
      <c r="N112" s="1" t="s">
        <v>43</v>
      </c>
    </row>
    <row r="113" spans="1:14" x14ac:dyDescent="0.25">
      <c r="A113" s="1" t="s">
        <v>494</v>
      </c>
      <c r="B113" s="1" t="s">
        <v>484</v>
      </c>
      <c r="C113" s="1" t="s">
        <v>484</v>
      </c>
      <c r="D113" s="1" t="s">
        <v>48</v>
      </c>
      <c r="E113" s="1" t="s">
        <v>38</v>
      </c>
      <c r="F113" s="1" t="s">
        <v>39</v>
      </c>
      <c r="G113" s="2">
        <v>-30</v>
      </c>
      <c r="H113" s="2">
        <v>4431106.6399999997</v>
      </c>
      <c r="I113" s="1" t="s">
        <v>40</v>
      </c>
      <c r="J113" s="1" t="s">
        <v>49</v>
      </c>
      <c r="K113" s="1" t="s">
        <v>42</v>
      </c>
      <c r="L113" s="1" t="s">
        <v>39</v>
      </c>
      <c r="M113" s="1" t="s">
        <v>39</v>
      </c>
      <c r="N113" s="1" t="s">
        <v>43</v>
      </c>
    </row>
    <row r="114" spans="1:14" x14ac:dyDescent="0.25">
      <c r="A114" s="1" t="s">
        <v>497</v>
      </c>
      <c r="B114" s="1" t="s">
        <v>498</v>
      </c>
      <c r="C114" s="1" t="s">
        <v>498</v>
      </c>
      <c r="D114" s="1" t="s">
        <v>48</v>
      </c>
      <c r="E114" s="1" t="s">
        <v>38</v>
      </c>
      <c r="F114" s="1" t="s">
        <v>39</v>
      </c>
      <c r="G114" s="2">
        <v>-48</v>
      </c>
      <c r="H114" s="2">
        <v>4434490.6399999997</v>
      </c>
      <c r="I114" s="1" t="s">
        <v>40</v>
      </c>
      <c r="J114" s="1" t="s">
        <v>49</v>
      </c>
      <c r="K114" s="1" t="s">
        <v>42</v>
      </c>
      <c r="L114" s="1" t="s">
        <v>39</v>
      </c>
      <c r="M114" s="1" t="s">
        <v>39</v>
      </c>
      <c r="N114" s="1" t="s">
        <v>43</v>
      </c>
    </row>
    <row r="115" spans="1:14" x14ac:dyDescent="0.25">
      <c r="A115" s="1" t="s">
        <v>501</v>
      </c>
      <c r="B115" s="1" t="s">
        <v>498</v>
      </c>
      <c r="C115" s="1" t="s">
        <v>491</v>
      </c>
      <c r="D115" s="1" t="s">
        <v>48</v>
      </c>
      <c r="E115" s="1" t="s">
        <v>38</v>
      </c>
      <c r="F115" s="1" t="s">
        <v>39</v>
      </c>
      <c r="G115" s="2">
        <v>-30</v>
      </c>
      <c r="H115" s="2">
        <v>4444799.6399999997</v>
      </c>
      <c r="I115" s="1" t="s">
        <v>40</v>
      </c>
      <c r="J115" s="1" t="s">
        <v>49</v>
      </c>
      <c r="K115" s="1" t="s">
        <v>42</v>
      </c>
      <c r="L115" s="1" t="s">
        <v>39</v>
      </c>
      <c r="M115" s="1" t="s">
        <v>39</v>
      </c>
      <c r="N115" s="1" t="s">
        <v>43</v>
      </c>
    </row>
    <row r="116" spans="1:14" x14ac:dyDescent="0.25">
      <c r="A116" s="1" t="s">
        <v>504</v>
      </c>
      <c r="B116" s="1" t="s">
        <v>498</v>
      </c>
      <c r="C116" s="1" t="s">
        <v>498</v>
      </c>
      <c r="D116" s="1" t="s">
        <v>48</v>
      </c>
      <c r="E116" s="1" t="s">
        <v>38</v>
      </c>
      <c r="F116" s="1" t="s">
        <v>39</v>
      </c>
      <c r="G116" s="2">
        <v>-115</v>
      </c>
      <c r="H116" s="2">
        <v>4444829.6399999997</v>
      </c>
      <c r="I116" s="1" t="s">
        <v>40</v>
      </c>
      <c r="J116" s="1" t="s">
        <v>49</v>
      </c>
      <c r="K116" s="1" t="s">
        <v>42</v>
      </c>
      <c r="L116" s="1" t="s">
        <v>39</v>
      </c>
      <c r="M116" s="1" t="s">
        <v>39</v>
      </c>
      <c r="N116" s="1" t="s">
        <v>43</v>
      </c>
    </row>
    <row r="117" spans="1:14" x14ac:dyDescent="0.25">
      <c r="A117" s="1" t="s">
        <v>507</v>
      </c>
      <c r="B117" s="1" t="s">
        <v>498</v>
      </c>
      <c r="C117" s="1" t="s">
        <v>491</v>
      </c>
      <c r="D117" s="1" t="s">
        <v>48</v>
      </c>
      <c r="E117" s="1" t="s">
        <v>38</v>
      </c>
      <c r="F117" s="1" t="s">
        <v>39</v>
      </c>
      <c r="G117" s="2">
        <v>-48</v>
      </c>
      <c r="H117" s="2">
        <v>4513538.6399999997</v>
      </c>
      <c r="I117" s="1" t="s">
        <v>40</v>
      </c>
      <c r="J117" s="1" t="s">
        <v>49</v>
      </c>
      <c r="K117" s="1" t="s">
        <v>42</v>
      </c>
      <c r="L117" s="1" t="s">
        <v>39</v>
      </c>
      <c r="M117" s="1" t="s">
        <v>39</v>
      </c>
      <c r="N117" s="1" t="s">
        <v>43</v>
      </c>
    </row>
    <row r="118" spans="1:14" x14ac:dyDescent="0.25">
      <c r="A118" s="1" t="s">
        <v>510</v>
      </c>
      <c r="B118" s="1" t="s">
        <v>498</v>
      </c>
      <c r="C118" s="1" t="s">
        <v>511</v>
      </c>
      <c r="D118" s="1" t="s">
        <v>48</v>
      </c>
      <c r="E118" s="1" t="s">
        <v>38</v>
      </c>
      <c r="F118" s="1" t="s">
        <v>39</v>
      </c>
      <c r="G118" s="2">
        <v>-48</v>
      </c>
      <c r="H118" s="2">
        <v>4520872.6399999997</v>
      </c>
      <c r="I118" s="1" t="s">
        <v>40</v>
      </c>
      <c r="J118" s="1" t="s">
        <v>49</v>
      </c>
      <c r="K118" s="1" t="s">
        <v>42</v>
      </c>
      <c r="L118" s="1" t="s">
        <v>39</v>
      </c>
      <c r="M118" s="1" t="s">
        <v>39</v>
      </c>
      <c r="N118" s="1" t="s">
        <v>43</v>
      </c>
    </row>
    <row r="119" spans="1:14" x14ac:dyDescent="0.25">
      <c r="A119" s="1" t="s">
        <v>514</v>
      </c>
      <c r="B119" s="1" t="s">
        <v>491</v>
      </c>
      <c r="C119" s="1" t="s">
        <v>515</v>
      </c>
      <c r="D119" s="1" t="s">
        <v>48</v>
      </c>
      <c r="E119" s="1" t="s">
        <v>38</v>
      </c>
      <c r="F119" s="1" t="s">
        <v>39</v>
      </c>
      <c r="G119" s="2">
        <v>-63</v>
      </c>
      <c r="H119" s="2">
        <v>4539650.6399999997</v>
      </c>
      <c r="I119" s="1" t="s">
        <v>40</v>
      </c>
      <c r="J119" s="1" t="s">
        <v>49</v>
      </c>
      <c r="K119" s="1" t="s">
        <v>42</v>
      </c>
      <c r="L119" s="1" t="s">
        <v>39</v>
      </c>
      <c r="M119" s="1" t="s">
        <v>39</v>
      </c>
      <c r="N119" s="1" t="s">
        <v>43</v>
      </c>
    </row>
    <row r="120" spans="1:14" x14ac:dyDescent="0.25">
      <c r="A120" s="1" t="s">
        <v>516</v>
      </c>
      <c r="B120" s="1" t="s">
        <v>491</v>
      </c>
      <c r="C120" s="1" t="s">
        <v>491</v>
      </c>
      <c r="D120" s="1" t="s">
        <v>48</v>
      </c>
      <c r="E120" s="1" t="s">
        <v>38</v>
      </c>
      <c r="F120" s="1" t="s">
        <v>39</v>
      </c>
      <c r="G120" s="2">
        <v>-63</v>
      </c>
      <c r="H120" s="2">
        <v>4539713.6399999997</v>
      </c>
      <c r="I120" s="1" t="s">
        <v>40</v>
      </c>
      <c r="J120" s="1" t="s">
        <v>49</v>
      </c>
      <c r="K120" s="1" t="s">
        <v>42</v>
      </c>
      <c r="L120" s="1" t="s">
        <v>39</v>
      </c>
      <c r="M120" s="1" t="s">
        <v>39</v>
      </c>
      <c r="N120" s="1" t="s">
        <v>43</v>
      </c>
    </row>
    <row r="121" spans="1:14" x14ac:dyDescent="0.25">
      <c r="A121" s="1" t="s">
        <v>519</v>
      </c>
      <c r="B121" s="1" t="s">
        <v>491</v>
      </c>
      <c r="C121" s="1" t="s">
        <v>491</v>
      </c>
      <c r="D121" s="1" t="s">
        <v>48</v>
      </c>
      <c r="E121" s="1" t="s">
        <v>38</v>
      </c>
      <c r="F121" s="1" t="s">
        <v>39</v>
      </c>
      <c r="G121" s="2">
        <v>-25</v>
      </c>
      <c r="H121" s="2">
        <v>4551587.6399999997</v>
      </c>
      <c r="I121" s="1" t="s">
        <v>40</v>
      </c>
      <c r="J121" s="1" t="s">
        <v>49</v>
      </c>
      <c r="K121" s="1" t="s">
        <v>42</v>
      </c>
      <c r="L121" s="1" t="s">
        <v>39</v>
      </c>
      <c r="M121" s="1" t="s">
        <v>39</v>
      </c>
      <c r="N121" s="1" t="s">
        <v>43</v>
      </c>
    </row>
    <row r="122" spans="1:14" x14ac:dyDescent="0.25">
      <c r="A122" s="1" t="s">
        <v>522</v>
      </c>
      <c r="B122" s="1" t="s">
        <v>491</v>
      </c>
      <c r="C122" s="1" t="s">
        <v>515</v>
      </c>
      <c r="D122" s="1" t="s">
        <v>48</v>
      </c>
      <c r="E122" s="1" t="s">
        <v>38</v>
      </c>
      <c r="F122" s="1" t="s">
        <v>39</v>
      </c>
      <c r="G122" s="2">
        <v>-48</v>
      </c>
      <c r="H122" s="2">
        <v>4553207.6399999997</v>
      </c>
      <c r="I122" s="1" t="s">
        <v>40</v>
      </c>
      <c r="J122" s="1" t="s">
        <v>49</v>
      </c>
      <c r="K122" s="1" t="s">
        <v>42</v>
      </c>
      <c r="L122" s="1" t="s">
        <v>39</v>
      </c>
      <c r="M122" s="1" t="s">
        <v>39</v>
      </c>
      <c r="N122" s="1" t="s">
        <v>43</v>
      </c>
    </row>
    <row r="123" spans="1:14" x14ac:dyDescent="0.25">
      <c r="A123" s="1" t="s">
        <v>525</v>
      </c>
      <c r="B123" s="1" t="s">
        <v>526</v>
      </c>
      <c r="C123" s="1" t="s">
        <v>526</v>
      </c>
      <c r="D123" s="1" t="s">
        <v>48</v>
      </c>
      <c r="E123" s="1" t="s">
        <v>38</v>
      </c>
      <c r="F123" s="1" t="s">
        <v>39</v>
      </c>
      <c r="G123" s="2">
        <v>-63</v>
      </c>
      <c r="H123" s="2">
        <v>4558725.6399999997</v>
      </c>
      <c r="I123" s="1" t="s">
        <v>40</v>
      </c>
      <c r="J123" s="1" t="s">
        <v>49</v>
      </c>
      <c r="K123" s="1" t="s">
        <v>42</v>
      </c>
      <c r="L123" s="1" t="s">
        <v>39</v>
      </c>
      <c r="M123" s="1" t="s">
        <v>39</v>
      </c>
      <c r="N123" s="1" t="s">
        <v>43</v>
      </c>
    </row>
    <row r="124" spans="1:14" x14ac:dyDescent="0.25">
      <c r="A124" s="1" t="s">
        <v>529</v>
      </c>
      <c r="B124" s="1" t="s">
        <v>526</v>
      </c>
      <c r="C124" s="1" t="s">
        <v>530</v>
      </c>
      <c r="D124" s="1" t="s">
        <v>48</v>
      </c>
      <c r="E124" s="1" t="s">
        <v>38</v>
      </c>
      <c r="F124" s="1" t="s">
        <v>39</v>
      </c>
      <c r="G124" s="2">
        <v>-74</v>
      </c>
      <c r="H124" s="2">
        <v>4573570.6399999997</v>
      </c>
      <c r="I124" s="1" t="s">
        <v>40</v>
      </c>
      <c r="J124" s="1" t="s">
        <v>49</v>
      </c>
      <c r="K124" s="1" t="s">
        <v>42</v>
      </c>
      <c r="L124" s="1" t="s">
        <v>39</v>
      </c>
      <c r="M124" s="1" t="s">
        <v>39</v>
      </c>
      <c r="N124" s="1" t="s">
        <v>43</v>
      </c>
    </row>
    <row r="125" spans="1:14" x14ac:dyDescent="0.25">
      <c r="A125" s="1" t="s">
        <v>533</v>
      </c>
      <c r="B125" s="1" t="s">
        <v>526</v>
      </c>
      <c r="C125" s="1" t="s">
        <v>526</v>
      </c>
      <c r="D125" s="1" t="s">
        <v>48</v>
      </c>
      <c r="E125" s="1" t="s">
        <v>38</v>
      </c>
      <c r="F125" s="1" t="s">
        <v>39</v>
      </c>
      <c r="G125" s="2">
        <v>-79</v>
      </c>
      <c r="H125" s="2">
        <v>4596605.6399999997</v>
      </c>
      <c r="I125" s="1" t="s">
        <v>40</v>
      </c>
      <c r="J125" s="1" t="s">
        <v>49</v>
      </c>
      <c r="K125" s="1" t="s">
        <v>42</v>
      </c>
      <c r="L125" s="1" t="s">
        <v>39</v>
      </c>
      <c r="M125" s="1" t="s">
        <v>39</v>
      </c>
      <c r="N125" s="1" t="s">
        <v>43</v>
      </c>
    </row>
    <row r="126" spans="1:14" x14ac:dyDescent="0.25">
      <c r="A126" s="1" t="s">
        <v>536</v>
      </c>
      <c r="B126" s="1" t="s">
        <v>511</v>
      </c>
      <c r="C126" s="1" t="s">
        <v>537</v>
      </c>
      <c r="D126" s="1" t="s">
        <v>48</v>
      </c>
      <c r="E126" s="1" t="s">
        <v>38</v>
      </c>
      <c r="F126" s="1" t="s">
        <v>39</v>
      </c>
      <c r="G126" s="2">
        <v>-74</v>
      </c>
      <c r="H126" s="2">
        <v>4646840.6399999997</v>
      </c>
      <c r="I126" s="1" t="s">
        <v>40</v>
      </c>
      <c r="J126" s="1" t="s">
        <v>49</v>
      </c>
      <c r="K126" s="1" t="s">
        <v>42</v>
      </c>
      <c r="L126" s="1" t="s">
        <v>39</v>
      </c>
      <c r="M126" s="1" t="s">
        <v>39</v>
      </c>
      <c r="N126" s="1" t="s">
        <v>43</v>
      </c>
    </row>
    <row r="127" spans="1:14" x14ac:dyDescent="0.25">
      <c r="A127" s="1" t="s">
        <v>540</v>
      </c>
      <c r="B127" s="1" t="s">
        <v>511</v>
      </c>
      <c r="C127" s="1" t="s">
        <v>515</v>
      </c>
      <c r="D127" s="1" t="s">
        <v>48</v>
      </c>
      <c r="E127" s="1" t="s">
        <v>38</v>
      </c>
      <c r="F127" s="1" t="s">
        <v>39</v>
      </c>
      <c r="G127" s="2">
        <v>-79</v>
      </c>
      <c r="H127" s="2">
        <v>4646914.6399999997</v>
      </c>
      <c r="I127" s="1" t="s">
        <v>40</v>
      </c>
      <c r="J127" s="1" t="s">
        <v>49</v>
      </c>
      <c r="K127" s="1" t="s">
        <v>42</v>
      </c>
      <c r="L127" s="1" t="s">
        <v>39</v>
      </c>
      <c r="M127" s="1" t="s">
        <v>39</v>
      </c>
      <c r="N127" s="1" t="s">
        <v>43</v>
      </c>
    </row>
    <row r="128" spans="1:14" x14ac:dyDescent="0.25">
      <c r="A128" s="1" t="s">
        <v>543</v>
      </c>
      <c r="B128" s="1" t="s">
        <v>511</v>
      </c>
      <c r="C128" s="1" t="s">
        <v>515</v>
      </c>
      <c r="D128" s="1" t="s">
        <v>48</v>
      </c>
      <c r="E128" s="1" t="s">
        <v>38</v>
      </c>
      <c r="F128" s="1" t="s">
        <v>39</v>
      </c>
      <c r="G128" s="2">
        <v>-30</v>
      </c>
      <c r="H128" s="2">
        <v>4672958.6399999997</v>
      </c>
      <c r="I128" s="1" t="s">
        <v>40</v>
      </c>
      <c r="J128" s="1" t="s">
        <v>49</v>
      </c>
      <c r="K128" s="1" t="s">
        <v>42</v>
      </c>
      <c r="L128" s="1" t="s">
        <v>39</v>
      </c>
      <c r="M128" s="1" t="s">
        <v>39</v>
      </c>
      <c r="N128" s="1" t="s">
        <v>43</v>
      </c>
    </row>
    <row r="129" spans="1:14" x14ac:dyDescent="0.25">
      <c r="A129" s="1" t="s">
        <v>546</v>
      </c>
      <c r="B129" s="1" t="s">
        <v>511</v>
      </c>
      <c r="C129" s="1" t="s">
        <v>515</v>
      </c>
      <c r="D129" s="1" t="s">
        <v>48</v>
      </c>
      <c r="E129" s="1" t="s">
        <v>38</v>
      </c>
      <c r="F129" s="1" t="s">
        <v>39</v>
      </c>
      <c r="G129" s="2">
        <v>-63</v>
      </c>
      <c r="H129" s="2">
        <v>4675608.6399999997</v>
      </c>
      <c r="I129" s="1" t="s">
        <v>40</v>
      </c>
      <c r="J129" s="1" t="s">
        <v>49</v>
      </c>
      <c r="K129" s="1" t="s">
        <v>42</v>
      </c>
      <c r="L129" s="1" t="s">
        <v>39</v>
      </c>
      <c r="M129" s="1" t="s">
        <v>39</v>
      </c>
      <c r="N129" s="1" t="s">
        <v>43</v>
      </c>
    </row>
    <row r="130" spans="1:14" x14ac:dyDescent="0.25">
      <c r="A130" s="1" t="s">
        <v>549</v>
      </c>
      <c r="B130" s="1" t="s">
        <v>515</v>
      </c>
      <c r="C130" s="1" t="s">
        <v>515</v>
      </c>
      <c r="D130" s="1" t="s">
        <v>48</v>
      </c>
      <c r="E130" s="1" t="s">
        <v>38</v>
      </c>
      <c r="F130" s="1" t="s">
        <v>39</v>
      </c>
      <c r="G130" s="2">
        <v>-54</v>
      </c>
      <c r="H130" s="2">
        <v>4698850.6399999997</v>
      </c>
      <c r="I130" s="1" t="s">
        <v>40</v>
      </c>
      <c r="J130" s="1" t="s">
        <v>49</v>
      </c>
      <c r="K130" s="1" t="s">
        <v>42</v>
      </c>
      <c r="L130" s="1" t="s">
        <v>39</v>
      </c>
      <c r="M130" s="1" t="s">
        <v>39</v>
      </c>
      <c r="N130" s="1" t="s">
        <v>43</v>
      </c>
    </row>
    <row r="131" spans="1:14" x14ac:dyDescent="0.25">
      <c r="A131" s="1" t="s">
        <v>552</v>
      </c>
      <c r="B131" s="1" t="s">
        <v>515</v>
      </c>
      <c r="C131" s="1" t="s">
        <v>515</v>
      </c>
      <c r="D131" s="1" t="s">
        <v>48</v>
      </c>
      <c r="E131" s="1" t="s">
        <v>38</v>
      </c>
      <c r="F131" s="1" t="s">
        <v>39</v>
      </c>
      <c r="G131" s="2">
        <v>-63</v>
      </c>
      <c r="H131" s="2">
        <v>4698904.6399999997</v>
      </c>
      <c r="I131" s="1" t="s">
        <v>40</v>
      </c>
      <c r="J131" s="1" t="s">
        <v>49</v>
      </c>
      <c r="K131" s="1" t="s">
        <v>42</v>
      </c>
      <c r="L131" s="1" t="s">
        <v>39</v>
      </c>
      <c r="M131" s="1" t="s">
        <v>39</v>
      </c>
      <c r="N131" s="1" t="s">
        <v>43</v>
      </c>
    </row>
    <row r="132" spans="1:14" x14ac:dyDescent="0.25">
      <c r="A132" s="1" t="s">
        <v>555</v>
      </c>
      <c r="B132" s="1" t="s">
        <v>515</v>
      </c>
      <c r="C132" s="1" t="s">
        <v>556</v>
      </c>
      <c r="D132" s="1" t="s">
        <v>48</v>
      </c>
      <c r="E132" s="1" t="s">
        <v>38</v>
      </c>
      <c r="F132" s="1" t="s">
        <v>39</v>
      </c>
      <c r="G132" s="2">
        <v>-48</v>
      </c>
      <c r="H132" s="2">
        <v>4709666.6399999997</v>
      </c>
      <c r="I132" s="1" t="s">
        <v>40</v>
      </c>
      <c r="J132" s="1" t="s">
        <v>49</v>
      </c>
      <c r="K132" s="1" t="s">
        <v>42</v>
      </c>
      <c r="L132" s="1" t="s">
        <v>39</v>
      </c>
      <c r="M132" s="1" t="s">
        <v>39</v>
      </c>
      <c r="N132" s="1" t="s">
        <v>43</v>
      </c>
    </row>
    <row r="133" spans="1:14" x14ac:dyDescent="0.25">
      <c r="A133" s="1" t="s">
        <v>559</v>
      </c>
      <c r="B133" s="1" t="s">
        <v>556</v>
      </c>
      <c r="C133" s="1" t="s">
        <v>556</v>
      </c>
      <c r="D133" s="1" t="s">
        <v>48</v>
      </c>
      <c r="E133" s="1" t="s">
        <v>38</v>
      </c>
      <c r="F133" s="1" t="s">
        <v>39</v>
      </c>
      <c r="G133" s="2">
        <v>-30</v>
      </c>
      <c r="H133" s="2">
        <v>4716605.6399999997</v>
      </c>
      <c r="I133" s="1" t="s">
        <v>40</v>
      </c>
      <c r="J133" s="1" t="s">
        <v>49</v>
      </c>
      <c r="K133" s="1" t="s">
        <v>42</v>
      </c>
      <c r="L133" s="1" t="s">
        <v>39</v>
      </c>
      <c r="M133" s="1" t="s">
        <v>39</v>
      </c>
      <c r="N133" s="1" t="s">
        <v>43</v>
      </c>
    </row>
    <row r="134" spans="1:14" x14ac:dyDescent="0.25">
      <c r="A134" s="1" t="s">
        <v>562</v>
      </c>
      <c r="B134" s="1" t="s">
        <v>556</v>
      </c>
      <c r="C134" s="1" t="s">
        <v>556</v>
      </c>
      <c r="D134" s="1" t="s">
        <v>48</v>
      </c>
      <c r="E134" s="1" t="s">
        <v>38</v>
      </c>
      <c r="F134" s="1" t="s">
        <v>39</v>
      </c>
      <c r="G134" s="2">
        <v>-25</v>
      </c>
      <c r="H134" s="2">
        <v>4720035.6399999997</v>
      </c>
      <c r="I134" s="1" t="s">
        <v>40</v>
      </c>
      <c r="J134" s="1" t="s">
        <v>49</v>
      </c>
      <c r="K134" s="1" t="s">
        <v>42</v>
      </c>
      <c r="L134" s="1" t="s">
        <v>39</v>
      </c>
      <c r="M134" s="1" t="s">
        <v>39</v>
      </c>
      <c r="N134" s="1" t="s">
        <v>43</v>
      </c>
    </row>
    <row r="135" spans="1:14" x14ac:dyDescent="0.25">
      <c r="A135" s="1" t="s">
        <v>565</v>
      </c>
      <c r="B135" s="1" t="s">
        <v>556</v>
      </c>
      <c r="C135" s="1" t="s">
        <v>556</v>
      </c>
      <c r="D135" s="1" t="s">
        <v>48</v>
      </c>
      <c r="E135" s="1" t="s">
        <v>38</v>
      </c>
      <c r="F135" s="1" t="s">
        <v>39</v>
      </c>
      <c r="G135" s="2">
        <v>-39</v>
      </c>
      <c r="H135" s="2">
        <v>4721870.6399999997</v>
      </c>
      <c r="I135" s="1" t="s">
        <v>40</v>
      </c>
      <c r="J135" s="1" t="s">
        <v>49</v>
      </c>
      <c r="K135" s="1" t="s">
        <v>42</v>
      </c>
      <c r="L135" s="1" t="s">
        <v>39</v>
      </c>
      <c r="M135" s="1" t="s">
        <v>39</v>
      </c>
      <c r="N135" s="1" t="s">
        <v>43</v>
      </c>
    </row>
    <row r="136" spans="1:14" x14ac:dyDescent="0.25">
      <c r="A136" s="1" t="s">
        <v>568</v>
      </c>
      <c r="B136" s="1" t="s">
        <v>556</v>
      </c>
      <c r="C136" s="1" t="s">
        <v>556</v>
      </c>
      <c r="D136" s="1" t="s">
        <v>48</v>
      </c>
      <c r="E136" s="1" t="s">
        <v>38</v>
      </c>
      <c r="F136" s="1" t="s">
        <v>39</v>
      </c>
      <c r="G136" s="2">
        <v>-68</v>
      </c>
      <c r="H136" s="2">
        <v>4725769.6399999997</v>
      </c>
      <c r="I136" s="1" t="s">
        <v>40</v>
      </c>
      <c r="J136" s="1" t="s">
        <v>49</v>
      </c>
      <c r="K136" s="1" t="s">
        <v>42</v>
      </c>
      <c r="L136" s="1" t="s">
        <v>39</v>
      </c>
      <c r="M136" s="1" t="s">
        <v>39</v>
      </c>
      <c r="N136" s="1" t="s">
        <v>43</v>
      </c>
    </row>
    <row r="137" spans="1:14" x14ac:dyDescent="0.25">
      <c r="A137" s="1" t="s">
        <v>571</v>
      </c>
      <c r="B137" s="1" t="s">
        <v>556</v>
      </c>
      <c r="C137" s="1" t="s">
        <v>556</v>
      </c>
      <c r="D137" s="1" t="s">
        <v>48</v>
      </c>
      <c r="E137" s="1" t="s">
        <v>38</v>
      </c>
      <c r="F137" s="1" t="s">
        <v>39</v>
      </c>
      <c r="G137" s="2">
        <v>-8</v>
      </c>
      <c r="H137" s="2">
        <v>4743728.6399999997</v>
      </c>
      <c r="I137" s="1" t="s">
        <v>40</v>
      </c>
      <c r="J137" s="1" t="s">
        <v>49</v>
      </c>
      <c r="K137" s="1" t="s">
        <v>42</v>
      </c>
      <c r="L137" s="1" t="s">
        <v>39</v>
      </c>
      <c r="M137" s="1" t="s">
        <v>39</v>
      </c>
      <c r="N137" s="1" t="s">
        <v>43</v>
      </c>
    </row>
    <row r="138" spans="1:14" x14ac:dyDescent="0.25">
      <c r="A138" s="1" t="s">
        <v>574</v>
      </c>
      <c r="B138" s="1" t="s">
        <v>556</v>
      </c>
      <c r="C138" s="1" t="s">
        <v>556</v>
      </c>
      <c r="D138" s="1" t="s">
        <v>48</v>
      </c>
      <c r="E138" s="1" t="s">
        <v>38</v>
      </c>
      <c r="F138" s="1" t="s">
        <v>39</v>
      </c>
      <c r="G138" s="2">
        <v>-63</v>
      </c>
      <c r="H138" s="2">
        <v>4743985.6399999997</v>
      </c>
      <c r="I138" s="1" t="s">
        <v>40</v>
      </c>
      <c r="J138" s="1" t="s">
        <v>49</v>
      </c>
      <c r="K138" s="1" t="s">
        <v>42</v>
      </c>
      <c r="L138" s="1" t="s">
        <v>39</v>
      </c>
      <c r="M138" s="1" t="s">
        <v>39</v>
      </c>
      <c r="N138" s="1" t="s">
        <v>43</v>
      </c>
    </row>
    <row r="139" spans="1:14" x14ac:dyDescent="0.25">
      <c r="A139" s="1" t="s">
        <v>577</v>
      </c>
      <c r="B139" s="1" t="s">
        <v>556</v>
      </c>
      <c r="C139" s="1" t="s">
        <v>578</v>
      </c>
      <c r="D139" s="1" t="s">
        <v>48</v>
      </c>
      <c r="E139" s="1" t="s">
        <v>38</v>
      </c>
      <c r="F139" s="1" t="s">
        <v>39</v>
      </c>
      <c r="G139" s="2">
        <v>-18</v>
      </c>
      <c r="H139" s="2">
        <v>4757315.6399999997</v>
      </c>
      <c r="I139" s="1" t="s">
        <v>40</v>
      </c>
      <c r="J139" s="1" t="s">
        <v>49</v>
      </c>
      <c r="K139" s="1" t="s">
        <v>42</v>
      </c>
      <c r="L139" s="1" t="s">
        <v>39</v>
      </c>
      <c r="M139" s="1" t="s">
        <v>39</v>
      </c>
      <c r="N139" s="1" t="s">
        <v>43</v>
      </c>
    </row>
    <row r="140" spans="1:14" x14ac:dyDescent="0.25">
      <c r="A140" s="1" t="s">
        <v>581</v>
      </c>
      <c r="B140" s="1" t="s">
        <v>556</v>
      </c>
      <c r="C140" s="1" t="s">
        <v>556</v>
      </c>
      <c r="D140" s="1" t="s">
        <v>48</v>
      </c>
      <c r="E140" s="1" t="s">
        <v>38</v>
      </c>
      <c r="F140" s="1" t="s">
        <v>39</v>
      </c>
      <c r="G140" s="2">
        <v>-48</v>
      </c>
      <c r="H140" s="2">
        <v>4758519.6399999997</v>
      </c>
      <c r="I140" s="1" t="s">
        <v>40</v>
      </c>
      <c r="J140" s="1" t="s">
        <v>49</v>
      </c>
      <c r="K140" s="1" t="s">
        <v>42</v>
      </c>
      <c r="L140" s="1" t="s">
        <v>39</v>
      </c>
      <c r="M140" s="1" t="s">
        <v>39</v>
      </c>
      <c r="N140" s="1" t="s">
        <v>43</v>
      </c>
    </row>
    <row r="141" spans="1:14" x14ac:dyDescent="0.25">
      <c r="A141" s="1" t="s">
        <v>584</v>
      </c>
      <c r="B141" s="1" t="s">
        <v>556</v>
      </c>
      <c r="C141" s="1" t="s">
        <v>530</v>
      </c>
      <c r="D141" s="1" t="s">
        <v>48</v>
      </c>
      <c r="E141" s="1" t="s">
        <v>38</v>
      </c>
      <c r="F141" s="1" t="s">
        <v>39</v>
      </c>
      <c r="G141" s="2">
        <v>-68</v>
      </c>
      <c r="H141" s="2">
        <v>4763958.6399999997</v>
      </c>
      <c r="I141" s="1" t="s">
        <v>40</v>
      </c>
      <c r="J141" s="1" t="s">
        <v>49</v>
      </c>
      <c r="K141" s="1" t="s">
        <v>42</v>
      </c>
      <c r="L141" s="1" t="s">
        <v>39</v>
      </c>
      <c r="M141" s="1" t="s">
        <v>39</v>
      </c>
      <c r="N141" s="1" t="s">
        <v>43</v>
      </c>
    </row>
    <row r="142" spans="1:14" x14ac:dyDescent="0.25">
      <c r="A142" s="1" t="s">
        <v>587</v>
      </c>
      <c r="B142" s="1" t="s">
        <v>530</v>
      </c>
      <c r="C142" s="1" t="s">
        <v>530</v>
      </c>
      <c r="D142" s="1" t="s">
        <v>48</v>
      </c>
      <c r="E142" s="1" t="s">
        <v>38</v>
      </c>
      <c r="F142" s="1" t="s">
        <v>39</v>
      </c>
      <c r="G142" s="2">
        <v>-63</v>
      </c>
      <c r="H142" s="2">
        <v>4779570.6399999997</v>
      </c>
      <c r="I142" s="1" t="s">
        <v>40</v>
      </c>
      <c r="J142" s="1" t="s">
        <v>49</v>
      </c>
      <c r="K142" s="1" t="s">
        <v>42</v>
      </c>
      <c r="L142" s="1" t="s">
        <v>39</v>
      </c>
      <c r="M142" s="1" t="s">
        <v>39</v>
      </c>
      <c r="N142" s="1" t="s">
        <v>43</v>
      </c>
    </row>
    <row r="143" spans="1:14" x14ac:dyDescent="0.25">
      <c r="A143" s="1" t="s">
        <v>590</v>
      </c>
      <c r="B143" s="1" t="s">
        <v>537</v>
      </c>
      <c r="C143" s="1" t="s">
        <v>537</v>
      </c>
      <c r="D143" s="1" t="s">
        <v>48</v>
      </c>
      <c r="E143" s="1" t="s">
        <v>38</v>
      </c>
      <c r="F143" s="1" t="s">
        <v>39</v>
      </c>
      <c r="G143" s="2">
        <v>-39</v>
      </c>
      <c r="H143" s="2">
        <v>4791172.6399999997</v>
      </c>
      <c r="I143" s="1" t="s">
        <v>40</v>
      </c>
      <c r="J143" s="1" t="s">
        <v>49</v>
      </c>
      <c r="K143" s="1" t="s">
        <v>42</v>
      </c>
      <c r="L143" s="1" t="s">
        <v>39</v>
      </c>
      <c r="M143" s="1" t="s">
        <v>39</v>
      </c>
      <c r="N143" s="1" t="s">
        <v>43</v>
      </c>
    </row>
    <row r="144" spans="1:14" x14ac:dyDescent="0.25">
      <c r="A144" s="1" t="s">
        <v>593</v>
      </c>
      <c r="B144" s="1" t="s">
        <v>594</v>
      </c>
      <c r="C144" s="1" t="s">
        <v>578</v>
      </c>
      <c r="D144" s="1" t="s">
        <v>48</v>
      </c>
      <c r="E144" s="1" t="s">
        <v>38</v>
      </c>
      <c r="F144" s="1" t="s">
        <v>39</v>
      </c>
      <c r="G144" s="2">
        <v>-63</v>
      </c>
      <c r="H144" s="2">
        <v>4794910.6399999997</v>
      </c>
      <c r="I144" s="1" t="s">
        <v>40</v>
      </c>
      <c r="J144" s="1" t="s">
        <v>49</v>
      </c>
      <c r="K144" s="1" t="s">
        <v>42</v>
      </c>
      <c r="L144" s="1" t="s">
        <v>39</v>
      </c>
      <c r="M144" s="1" t="s">
        <v>39</v>
      </c>
      <c r="N144" s="1" t="s">
        <v>43</v>
      </c>
    </row>
    <row r="145" spans="1:14" x14ac:dyDescent="0.25">
      <c r="A145" s="1" t="s">
        <v>595</v>
      </c>
      <c r="B145" s="1" t="s">
        <v>578</v>
      </c>
      <c r="C145" s="1" t="s">
        <v>596</v>
      </c>
      <c r="D145" s="1" t="s">
        <v>48</v>
      </c>
      <c r="E145" s="1" t="s">
        <v>38</v>
      </c>
      <c r="F145" s="1" t="s">
        <v>39</v>
      </c>
      <c r="G145" s="2">
        <v>-74</v>
      </c>
      <c r="H145" s="2">
        <v>4828072.6399999997</v>
      </c>
      <c r="I145" s="1" t="s">
        <v>40</v>
      </c>
      <c r="J145" s="1" t="s">
        <v>49</v>
      </c>
      <c r="K145" s="1" t="s">
        <v>42</v>
      </c>
      <c r="L145" s="1" t="s">
        <v>39</v>
      </c>
      <c r="M145" s="1" t="s">
        <v>39</v>
      </c>
      <c r="N145" s="1" t="s">
        <v>43</v>
      </c>
    </row>
    <row r="146" spans="1:14" x14ac:dyDescent="0.25">
      <c r="A146" s="1" t="s">
        <v>599</v>
      </c>
      <c r="B146" s="1" t="s">
        <v>578</v>
      </c>
      <c r="C146" s="1" t="s">
        <v>600</v>
      </c>
      <c r="D146" s="1" t="s">
        <v>48</v>
      </c>
      <c r="E146" s="1" t="s">
        <v>38</v>
      </c>
      <c r="F146" s="1" t="s">
        <v>39</v>
      </c>
      <c r="G146" s="2">
        <v>-54</v>
      </c>
      <c r="H146" s="2">
        <v>4835749.6399999997</v>
      </c>
      <c r="I146" s="1" t="s">
        <v>40</v>
      </c>
      <c r="J146" s="1" t="s">
        <v>49</v>
      </c>
      <c r="K146" s="1" t="s">
        <v>42</v>
      </c>
      <c r="L146" s="1" t="s">
        <v>39</v>
      </c>
      <c r="M146" s="1" t="s">
        <v>39</v>
      </c>
      <c r="N146" s="1" t="s">
        <v>43</v>
      </c>
    </row>
    <row r="147" spans="1:14" x14ac:dyDescent="0.25">
      <c r="A147" s="1" t="s">
        <v>603</v>
      </c>
      <c r="B147" s="1" t="s">
        <v>578</v>
      </c>
      <c r="C147" s="1" t="s">
        <v>600</v>
      </c>
      <c r="D147" s="1" t="s">
        <v>48</v>
      </c>
      <c r="E147" s="1" t="s">
        <v>38</v>
      </c>
      <c r="F147" s="1" t="s">
        <v>39</v>
      </c>
      <c r="G147" s="2">
        <v>-54</v>
      </c>
      <c r="H147" s="2">
        <v>4835803.6399999997</v>
      </c>
      <c r="I147" s="1" t="s">
        <v>40</v>
      </c>
      <c r="J147" s="1" t="s">
        <v>49</v>
      </c>
      <c r="K147" s="1" t="s">
        <v>42</v>
      </c>
      <c r="L147" s="1" t="s">
        <v>39</v>
      </c>
      <c r="M147" s="1" t="s">
        <v>39</v>
      </c>
      <c r="N147" s="1" t="s">
        <v>43</v>
      </c>
    </row>
    <row r="148" spans="1:14" x14ac:dyDescent="0.25">
      <c r="A148" s="1" t="s">
        <v>606</v>
      </c>
      <c r="B148" s="1" t="s">
        <v>600</v>
      </c>
      <c r="C148" s="1" t="s">
        <v>600</v>
      </c>
      <c r="D148" s="1" t="s">
        <v>48</v>
      </c>
      <c r="E148" s="1" t="s">
        <v>38</v>
      </c>
      <c r="F148" s="1" t="s">
        <v>39</v>
      </c>
      <c r="G148" s="2">
        <v>-74</v>
      </c>
      <c r="H148" s="2">
        <v>4843953.6399999997</v>
      </c>
      <c r="I148" s="1" t="s">
        <v>40</v>
      </c>
      <c r="J148" s="1" t="s">
        <v>49</v>
      </c>
      <c r="K148" s="1" t="s">
        <v>42</v>
      </c>
      <c r="L148" s="1" t="s">
        <v>39</v>
      </c>
      <c r="M148" s="1" t="s">
        <v>39</v>
      </c>
      <c r="N148" s="1" t="s">
        <v>43</v>
      </c>
    </row>
    <row r="149" spans="1:14" x14ac:dyDescent="0.25">
      <c r="A149" s="1" t="s">
        <v>609</v>
      </c>
      <c r="B149" s="1" t="s">
        <v>600</v>
      </c>
      <c r="C149" s="1" t="s">
        <v>610</v>
      </c>
      <c r="D149" s="1" t="s">
        <v>48</v>
      </c>
      <c r="E149" s="1" t="s">
        <v>38</v>
      </c>
      <c r="F149" s="1" t="s">
        <v>39</v>
      </c>
      <c r="G149" s="2">
        <v>-48</v>
      </c>
      <c r="H149" s="2">
        <v>4870621.6399999997</v>
      </c>
      <c r="I149" s="1" t="s">
        <v>40</v>
      </c>
      <c r="J149" s="1" t="s">
        <v>49</v>
      </c>
      <c r="K149" s="1" t="s">
        <v>42</v>
      </c>
      <c r="L149" s="1" t="s">
        <v>39</v>
      </c>
      <c r="M149" s="1" t="s">
        <v>39</v>
      </c>
      <c r="N149" s="1" t="s">
        <v>43</v>
      </c>
    </row>
    <row r="150" spans="1:14" x14ac:dyDescent="0.25">
      <c r="A150" s="1" t="s">
        <v>613</v>
      </c>
      <c r="B150" s="1" t="s">
        <v>610</v>
      </c>
      <c r="C150" s="1" t="s">
        <v>610</v>
      </c>
      <c r="D150" s="1" t="s">
        <v>48</v>
      </c>
      <c r="E150" s="1" t="s">
        <v>38</v>
      </c>
      <c r="F150" s="1" t="s">
        <v>39</v>
      </c>
      <c r="G150" s="2">
        <v>-68</v>
      </c>
      <c r="H150" s="2">
        <v>4870669.6399999997</v>
      </c>
      <c r="I150" s="1" t="s">
        <v>40</v>
      </c>
      <c r="J150" s="1" t="s">
        <v>49</v>
      </c>
      <c r="K150" s="1" t="s">
        <v>42</v>
      </c>
      <c r="L150" s="1" t="s">
        <v>39</v>
      </c>
      <c r="M150" s="1" t="s">
        <v>39</v>
      </c>
      <c r="N150" s="1" t="s">
        <v>43</v>
      </c>
    </row>
    <row r="151" spans="1:14" x14ac:dyDescent="0.25">
      <c r="A151" s="1" t="s">
        <v>616</v>
      </c>
      <c r="B151" s="1" t="s">
        <v>617</v>
      </c>
      <c r="C151" s="1" t="s">
        <v>618</v>
      </c>
      <c r="D151" s="1" t="s">
        <v>48</v>
      </c>
      <c r="E151" s="1" t="s">
        <v>38</v>
      </c>
      <c r="F151" s="1" t="s">
        <v>39</v>
      </c>
      <c r="G151" s="2">
        <v>-54</v>
      </c>
      <c r="H151" s="2">
        <v>4885777.6399999997</v>
      </c>
      <c r="I151" s="1" t="s">
        <v>40</v>
      </c>
      <c r="J151" s="1" t="s">
        <v>49</v>
      </c>
      <c r="K151" s="1" t="s">
        <v>42</v>
      </c>
      <c r="L151" s="1" t="s">
        <v>39</v>
      </c>
      <c r="M151" s="1" t="s">
        <v>39</v>
      </c>
      <c r="N151" s="1" t="s">
        <v>43</v>
      </c>
    </row>
    <row r="152" spans="1:14" x14ac:dyDescent="0.25">
      <c r="A152" s="1" t="s">
        <v>621</v>
      </c>
      <c r="B152" s="1" t="s">
        <v>617</v>
      </c>
      <c r="C152" s="1" t="s">
        <v>617</v>
      </c>
      <c r="D152" s="1" t="s">
        <v>48</v>
      </c>
      <c r="E152" s="1" t="s">
        <v>38</v>
      </c>
      <c r="F152" s="1" t="s">
        <v>39</v>
      </c>
      <c r="G152" s="2">
        <v>-63</v>
      </c>
      <c r="H152" s="2">
        <v>4895602.6399999997</v>
      </c>
      <c r="I152" s="1" t="s">
        <v>40</v>
      </c>
      <c r="J152" s="1" t="s">
        <v>49</v>
      </c>
      <c r="K152" s="1" t="s">
        <v>42</v>
      </c>
      <c r="L152" s="1" t="s">
        <v>39</v>
      </c>
      <c r="M152" s="1" t="s">
        <v>39</v>
      </c>
      <c r="N152" s="1" t="s">
        <v>43</v>
      </c>
    </row>
    <row r="153" spans="1:14" x14ac:dyDescent="0.25">
      <c r="A153" s="1" t="s">
        <v>624</v>
      </c>
      <c r="B153" s="1" t="s">
        <v>617</v>
      </c>
      <c r="C153" s="1" t="s">
        <v>617</v>
      </c>
      <c r="D153" s="1" t="s">
        <v>48</v>
      </c>
      <c r="E153" s="1" t="s">
        <v>38</v>
      </c>
      <c r="F153" s="1" t="s">
        <v>39</v>
      </c>
      <c r="G153" s="2">
        <v>-48</v>
      </c>
      <c r="H153" s="2">
        <v>4909474.6399999997</v>
      </c>
      <c r="I153" s="1" t="s">
        <v>40</v>
      </c>
      <c r="J153" s="1" t="s">
        <v>49</v>
      </c>
      <c r="K153" s="1" t="s">
        <v>42</v>
      </c>
      <c r="L153" s="1" t="s">
        <v>39</v>
      </c>
      <c r="M153" s="1" t="s">
        <v>39</v>
      </c>
      <c r="N153" s="1" t="s">
        <v>43</v>
      </c>
    </row>
    <row r="154" spans="1:14" x14ac:dyDescent="0.25">
      <c r="A154" s="1" t="s">
        <v>627</v>
      </c>
      <c r="B154" s="1" t="s">
        <v>596</v>
      </c>
      <c r="C154" s="1" t="s">
        <v>596</v>
      </c>
      <c r="D154" s="1" t="s">
        <v>48</v>
      </c>
      <c r="E154" s="1" t="s">
        <v>38</v>
      </c>
      <c r="F154" s="1" t="s">
        <v>39</v>
      </c>
      <c r="G154" s="2">
        <v>-25</v>
      </c>
      <c r="H154" s="2">
        <v>4915275.6399999997</v>
      </c>
      <c r="I154" s="1" t="s">
        <v>40</v>
      </c>
      <c r="J154" s="1" t="s">
        <v>49</v>
      </c>
      <c r="K154" s="1" t="s">
        <v>42</v>
      </c>
      <c r="L154" s="1" t="s">
        <v>39</v>
      </c>
      <c r="M154" s="1" t="s">
        <v>39</v>
      </c>
      <c r="N154" s="1" t="s">
        <v>43</v>
      </c>
    </row>
    <row r="155" spans="1:14" x14ac:dyDescent="0.25">
      <c r="A155" s="1" t="s">
        <v>630</v>
      </c>
      <c r="B155" s="1" t="s">
        <v>596</v>
      </c>
      <c r="C155" s="1" t="s">
        <v>596</v>
      </c>
      <c r="D155" s="1" t="s">
        <v>48</v>
      </c>
      <c r="E155" s="1" t="s">
        <v>38</v>
      </c>
      <c r="F155" s="1" t="s">
        <v>39</v>
      </c>
      <c r="G155" s="2">
        <v>-39</v>
      </c>
      <c r="H155" s="2">
        <v>4917133.6399999997</v>
      </c>
      <c r="I155" s="1" t="s">
        <v>40</v>
      </c>
      <c r="J155" s="1" t="s">
        <v>49</v>
      </c>
      <c r="K155" s="1" t="s">
        <v>42</v>
      </c>
      <c r="L155" s="1" t="s">
        <v>39</v>
      </c>
      <c r="M155" s="1" t="s">
        <v>39</v>
      </c>
      <c r="N155" s="1" t="s">
        <v>43</v>
      </c>
    </row>
    <row r="156" spans="1:14" x14ac:dyDescent="0.25">
      <c r="A156" s="1" t="s">
        <v>633</v>
      </c>
      <c r="B156" s="1" t="s">
        <v>634</v>
      </c>
      <c r="C156" s="1" t="s">
        <v>634</v>
      </c>
      <c r="D156" s="1" t="s">
        <v>48</v>
      </c>
      <c r="E156" s="1" t="s">
        <v>38</v>
      </c>
      <c r="F156" s="1" t="s">
        <v>39</v>
      </c>
      <c r="G156" s="2">
        <v>-39</v>
      </c>
      <c r="H156" s="2">
        <v>4920733.6399999997</v>
      </c>
      <c r="I156" s="1" t="s">
        <v>40</v>
      </c>
      <c r="J156" s="1" t="s">
        <v>49</v>
      </c>
      <c r="K156" s="1" t="s">
        <v>42</v>
      </c>
      <c r="L156" s="1" t="s">
        <v>39</v>
      </c>
      <c r="M156" s="1" t="s">
        <v>39</v>
      </c>
      <c r="N156" s="1" t="s">
        <v>43</v>
      </c>
    </row>
    <row r="157" spans="1:14" x14ac:dyDescent="0.25">
      <c r="A157" s="1" t="s">
        <v>637</v>
      </c>
      <c r="B157" s="1" t="s">
        <v>634</v>
      </c>
      <c r="C157" s="1" t="s">
        <v>634</v>
      </c>
      <c r="D157" s="1" t="s">
        <v>48</v>
      </c>
      <c r="E157" s="1" t="s">
        <v>38</v>
      </c>
      <c r="F157" s="1" t="s">
        <v>39</v>
      </c>
      <c r="G157" s="2">
        <v>-39</v>
      </c>
      <c r="H157" s="2">
        <v>4925616.6399999997</v>
      </c>
      <c r="I157" s="1" t="s">
        <v>40</v>
      </c>
      <c r="J157" s="1" t="s">
        <v>49</v>
      </c>
      <c r="K157" s="1" t="s">
        <v>42</v>
      </c>
      <c r="L157" s="1" t="s">
        <v>39</v>
      </c>
      <c r="M157" s="1" t="s">
        <v>39</v>
      </c>
      <c r="N157" s="1" t="s">
        <v>43</v>
      </c>
    </row>
    <row r="158" spans="1:14" x14ac:dyDescent="0.25">
      <c r="A158" s="1" t="s">
        <v>640</v>
      </c>
      <c r="B158" s="1" t="s">
        <v>634</v>
      </c>
      <c r="C158" s="1" t="s">
        <v>641</v>
      </c>
      <c r="D158" s="1" t="s">
        <v>48</v>
      </c>
      <c r="E158" s="1" t="s">
        <v>38</v>
      </c>
      <c r="F158" s="1" t="s">
        <v>39</v>
      </c>
      <c r="G158" s="2">
        <v>-68</v>
      </c>
      <c r="H158" s="2">
        <v>4949303.6399999997</v>
      </c>
      <c r="I158" s="1" t="s">
        <v>40</v>
      </c>
      <c r="J158" s="1" t="s">
        <v>49</v>
      </c>
      <c r="K158" s="1" t="s">
        <v>42</v>
      </c>
      <c r="L158" s="1" t="s">
        <v>39</v>
      </c>
      <c r="M158" s="1" t="s">
        <v>39</v>
      </c>
      <c r="N158" s="1" t="s">
        <v>43</v>
      </c>
    </row>
    <row r="159" spans="1:14" x14ac:dyDescent="0.25">
      <c r="A159" s="1" t="s">
        <v>644</v>
      </c>
      <c r="B159" s="1" t="s">
        <v>645</v>
      </c>
      <c r="C159" s="1" t="s">
        <v>646</v>
      </c>
      <c r="D159" s="1" t="s">
        <v>48</v>
      </c>
      <c r="E159" s="1" t="s">
        <v>38</v>
      </c>
      <c r="F159" s="1" t="s">
        <v>39</v>
      </c>
      <c r="G159" s="2">
        <v>-79</v>
      </c>
      <c r="H159" s="2">
        <v>4974610.6399999997</v>
      </c>
      <c r="I159" s="1" t="s">
        <v>40</v>
      </c>
      <c r="J159" s="1" t="s">
        <v>49</v>
      </c>
      <c r="K159" s="1" t="s">
        <v>42</v>
      </c>
      <c r="L159" s="1" t="s">
        <v>39</v>
      </c>
      <c r="M159" s="1" t="s">
        <v>39</v>
      </c>
      <c r="N159" s="1" t="s">
        <v>43</v>
      </c>
    </row>
    <row r="160" spans="1:14" x14ac:dyDescent="0.25">
      <c r="A160" s="1" t="s">
        <v>647</v>
      </c>
      <c r="B160" s="1" t="s">
        <v>645</v>
      </c>
      <c r="C160" s="1" t="s">
        <v>648</v>
      </c>
      <c r="D160" s="1" t="s">
        <v>48</v>
      </c>
      <c r="E160" s="1" t="s">
        <v>38</v>
      </c>
      <c r="F160" s="1" t="s">
        <v>39</v>
      </c>
      <c r="G160" s="2">
        <v>-63</v>
      </c>
      <c r="H160" s="2">
        <v>4987197.6399999997</v>
      </c>
      <c r="I160" s="1" t="s">
        <v>40</v>
      </c>
      <c r="J160" s="1" t="s">
        <v>49</v>
      </c>
      <c r="K160" s="1" t="s">
        <v>42</v>
      </c>
      <c r="L160" s="1" t="s">
        <v>39</v>
      </c>
      <c r="M160" s="1" t="s">
        <v>39</v>
      </c>
      <c r="N160" s="1" t="s">
        <v>43</v>
      </c>
    </row>
    <row r="161" spans="1:14" x14ac:dyDescent="0.25">
      <c r="A161" s="1" t="s">
        <v>651</v>
      </c>
      <c r="B161" s="1" t="s">
        <v>648</v>
      </c>
      <c r="C161" s="1" t="s">
        <v>646</v>
      </c>
      <c r="D161" s="1" t="s">
        <v>48</v>
      </c>
      <c r="E161" s="1" t="s">
        <v>38</v>
      </c>
      <c r="F161" s="1" t="s">
        <v>39</v>
      </c>
      <c r="G161" s="2">
        <v>-63</v>
      </c>
      <c r="H161" s="2">
        <v>4987260.6399999997</v>
      </c>
      <c r="I161" s="1" t="s">
        <v>40</v>
      </c>
      <c r="J161" s="1" t="s">
        <v>49</v>
      </c>
      <c r="K161" s="1" t="s">
        <v>42</v>
      </c>
      <c r="L161" s="1" t="s">
        <v>39</v>
      </c>
      <c r="M161" s="1" t="s">
        <v>39</v>
      </c>
      <c r="N161" s="1" t="s">
        <v>43</v>
      </c>
    </row>
    <row r="162" spans="1:14" x14ac:dyDescent="0.25">
      <c r="A162" s="1" t="s">
        <v>654</v>
      </c>
      <c r="B162" s="1" t="s">
        <v>648</v>
      </c>
      <c r="C162" s="1" t="s">
        <v>641</v>
      </c>
      <c r="D162" s="1" t="s">
        <v>48</v>
      </c>
      <c r="E162" s="1" t="s">
        <v>38</v>
      </c>
      <c r="F162" s="1" t="s">
        <v>39</v>
      </c>
      <c r="G162" s="2">
        <v>-48</v>
      </c>
      <c r="H162" s="2">
        <v>5000245.6399999997</v>
      </c>
      <c r="I162" s="1" t="s">
        <v>40</v>
      </c>
      <c r="J162" s="1" t="s">
        <v>49</v>
      </c>
      <c r="K162" s="1" t="s">
        <v>42</v>
      </c>
      <c r="L162" s="1" t="s">
        <v>39</v>
      </c>
      <c r="M162" s="1" t="s">
        <v>39</v>
      </c>
      <c r="N162" s="1" t="s">
        <v>43</v>
      </c>
    </row>
    <row r="163" spans="1:14" x14ac:dyDescent="0.25">
      <c r="A163" s="1" t="s">
        <v>657</v>
      </c>
      <c r="B163" s="1" t="s">
        <v>658</v>
      </c>
      <c r="C163" s="1" t="s">
        <v>658</v>
      </c>
      <c r="D163" s="1" t="s">
        <v>48</v>
      </c>
      <c r="E163" s="1" t="s">
        <v>38</v>
      </c>
      <c r="F163" s="1" t="s">
        <v>39</v>
      </c>
      <c r="G163" s="2">
        <v>-30</v>
      </c>
      <c r="H163" s="2">
        <v>5006553.6399999997</v>
      </c>
      <c r="I163" s="1" t="s">
        <v>40</v>
      </c>
      <c r="J163" s="1" t="s">
        <v>49</v>
      </c>
      <c r="K163" s="1" t="s">
        <v>42</v>
      </c>
      <c r="L163" s="1" t="s">
        <v>39</v>
      </c>
      <c r="M163" s="1" t="s">
        <v>39</v>
      </c>
      <c r="N163" s="1" t="s">
        <v>43</v>
      </c>
    </row>
    <row r="164" spans="1:14" x14ac:dyDescent="0.25">
      <c r="A164" s="1" t="s">
        <v>661</v>
      </c>
      <c r="B164" s="1" t="s">
        <v>658</v>
      </c>
      <c r="C164" s="1" t="s">
        <v>662</v>
      </c>
      <c r="D164" s="1" t="s">
        <v>48</v>
      </c>
      <c r="E164" s="1" t="s">
        <v>38</v>
      </c>
      <c r="F164" s="1" t="s">
        <v>39</v>
      </c>
      <c r="G164" s="2">
        <v>-48</v>
      </c>
      <c r="H164" s="2">
        <v>5016256.6399999997</v>
      </c>
      <c r="I164" s="1" t="s">
        <v>40</v>
      </c>
      <c r="J164" s="1" t="s">
        <v>49</v>
      </c>
      <c r="K164" s="1" t="s">
        <v>42</v>
      </c>
      <c r="L164" s="1" t="s">
        <v>39</v>
      </c>
      <c r="M164" s="1" t="s">
        <v>39</v>
      </c>
      <c r="N164" s="1" t="s">
        <v>43</v>
      </c>
    </row>
    <row r="165" spans="1:14" x14ac:dyDescent="0.25">
      <c r="A165" s="1" t="s">
        <v>665</v>
      </c>
      <c r="B165" s="1" t="s">
        <v>658</v>
      </c>
      <c r="C165" s="1" t="s">
        <v>662</v>
      </c>
      <c r="D165" s="1" t="s">
        <v>48</v>
      </c>
      <c r="E165" s="1" t="s">
        <v>38</v>
      </c>
      <c r="F165" s="1" t="s">
        <v>39</v>
      </c>
      <c r="G165" s="2">
        <v>-30</v>
      </c>
      <c r="H165" s="2">
        <v>5016304.6399999997</v>
      </c>
      <c r="I165" s="1" t="s">
        <v>40</v>
      </c>
      <c r="J165" s="1" t="s">
        <v>49</v>
      </c>
      <c r="K165" s="1" t="s">
        <v>42</v>
      </c>
      <c r="L165" s="1" t="s">
        <v>39</v>
      </c>
      <c r="M165" s="1" t="s">
        <v>39</v>
      </c>
      <c r="N165" s="1" t="s">
        <v>43</v>
      </c>
    </row>
    <row r="166" spans="1:14" x14ac:dyDescent="0.25">
      <c r="A166" s="1" t="s">
        <v>668</v>
      </c>
      <c r="B166" s="1" t="s">
        <v>646</v>
      </c>
      <c r="C166" s="1" t="s">
        <v>646</v>
      </c>
      <c r="D166" s="1" t="s">
        <v>48</v>
      </c>
      <c r="E166" s="1" t="s">
        <v>38</v>
      </c>
      <c r="F166" s="1" t="s">
        <v>39</v>
      </c>
      <c r="G166" s="2">
        <v>-48</v>
      </c>
      <c r="H166" s="2">
        <v>5019216.6399999997</v>
      </c>
      <c r="I166" s="1" t="s">
        <v>40</v>
      </c>
      <c r="J166" s="1" t="s">
        <v>49</v>
      </c>
      <c r="K166" s="1" t="s">
        <v>42</v>
      </c>
      <c r="L166" s="1" t="s">
        <v>39</v>
      </c>
      <c r="M166" s="1" t="s">
        <v>39</v>
      </c>
      <c r="N166" s="1" t="s">
        <v>43</v>
      </c>
    </row>
    <row r="167" spans="1:14" x14ac:dyDescent="0.25">
      <c r="A167" s="1" t="s">
        <v>671</v>
      </c>
      <c r="B167" s="1" t="s">
        <v>646</v>
      </c>
      <c r="C167" s="1" t="s">
        <v>672</v>
      </c>
      <c r="D167" s="1" t="s">
        <v>48</v>
      </c>
      <c r="E167" s="1" t="s">
        <v>38</v>
      </c>
      <c r="F167" s="1" t="s">
        <v>39</v>
      </c>
      <c r="G167" s="2">
        <v>-74</v>
      </c>
      <c r="H167" s="2">
        <v>5024484.6399999997</v>
      </c>
      <c r="I167" s="1" t="s">
        <v>40</v>
      </c>
      <c r="J167" s="1" t="s">
        <v>49</v>
      </c>
      <c r="K167" s="1" t="s">
        <v>42</v>
      </c>
      <c r="L167" s="1" t="s">
        <v>39</v>
      </c>
      <c r="M167" s="1" t="s">
        <v>39</v>
      </c>
      <c r="N167" s="1" t="s">
        <v>43</v>
      </c>
    </row>
    <row r="168" spans="1:14" x14ac:dyDescent="0.25">
      <c r="A168" s="1" t="s">
        <v>675</v>
      </c>
      <c r="B168" s="1" t="s">
        <v>646</v>
      </c>
      <c r="C168" s="1" t="s">
        <v>646</v>
      </c>
      <c r="D168" s="1" t="s">
        <v>48</v>
      </c>
      <c r="E168" s="1" t="s">
        <v>38</v>
      </c>
      <c r="F168" s="1" t="s">
        <v>39</v>
      </c>
      <c r="G168" s="2">
        <v>-39</v>
      </c>
      <c r="H168" s="2">
        <v>5046329.6399999997</v>
      </c>
      <c r="I168" s="1" t="s">
        <v>40</v>
      </c>
      <c r="J168" s="1" t="s">
        <v>49</v>
      </c>
      <c r="K168" s="1" t="s">
        <v>42</v>
      </c>
      <c r="L168" s="1" t="s">
        <v>39</v>
      </c>
      <c r="M168" s="1" t="s">
        <v>39</v>
      </c>
      <c r="N168" s="1" t="s">
        <v>43</v>
      </c>
    </row>
    <row r="169" spans="1:14" x14ac:dyDescent="0.25">
      <c r="A169" s="1" t="s">
        <v>678</v>
      </c>
      <c r="B169" s="1" t="s">
        <v>679</v>
      </c>
      <c r="C169" s="1" t="s">
        <v>680</v>
      </c>
      <c r="D169" s="1" t="s">
        <v>48</v>
      </c>
      <c r="E169" s="1" t="s">
        <v>38</v>
      </c>
      <c r="F169" s="1" t="s">
        <v>39</v>
      </c>
      <c r="G169" s="2">
        <v>-63</v>
      </c>
      <c r="H169" s="2">
        <v>5061287.6399999997</v>
      </c>
      <c r="I169" s="1" t="s">
        <v>40</v>
      </c>
      <c r="J169" s="1" t="s">
        <v>49</v>
      </c>
      <c r="K169" s="1" t="s">
        <v>42</v>
      </c>
      <c r="L169" s="1" t="s">
        <v>39</v>
      </c>
      <c r="M169" s="1" t="s">
        <v>39</v>
      </c>
      <c r="N169" s="1" t="s">
        <v>43</v>
      </c>
    </row>
    <row r="170" spans="1:14" x14ac:dyDescent="0.25">
      <c r="A170" s="1" t="s">
        <v>683</v>
      </c>
      <c r="B170" s="1" t="s">
        <v>679</v>
      </c>
      <c r="C170" s="1" t="s">
        <v>680</v>
      </c>
      <c r="D170" s="1" t="s">
        <v>48</v>
      </c>
      <c r="E170" s="1" t="s">
        <v>38</v>
      </c>
      <c r="F170" s="1" t="s">
        <v>39</v>
      </c>
      <c r="G170" s="2">
        <v>-48</v>
      </c>
      <c r="H170" s="2">
        <v>5061350.6399999997</v>
      </c>
      <c r="I170" s="1" t="s">
        <v>40</v>
      </c>
      <c r="J170" s="1" t="s">
        <v>49</v>
      </c>
      <c r="K170" s="1" t="s">
        <v>42</v>
      </c>
      <c r="L170" s="1" t="s">
        <v>39</v>
      </c>
      <c r="M170" s="1" t="s">
        <v>39</v>
      </c>
      <c r="N170" s="1" t="s">
        <v>43</v>
      </c>
    </row>
    <row r="171" spans="1:14" x14ac:dyDescent="0.25">
      <c r="A171" s="1" t="s">
        <v>686</v>
      </c>
      <c r="B171" s="1" t="s">
        <v>680</v>
      </c>
      <c r="C171" s="1" t="s">
        <v>680</v>
      </c>
      <c r="D171" s="1" t="s">
        <v>48</v>
      </c>
      <c r="E171" s="1" t="s">
        <v>38</v>
      </c>
      <c r="F171" s="1" t="s">
        <v>39</v>
      </c>
      <c r="G171" s="2">
        <v>-63</v>
      </c>
      <c r="H171" s="2">
        <v>5080783.6399999997</v>
      </c>
      <c r="I171" s="1" t="s">
        <v>40</v>
      </c>
      <c r="J171" s="1" t="s">
        <v>49</v>
      </c>
      <c r="K171" s="1" t="s">
        <v>42</v>
      </c>
      <c r="L171" s="1" t="s">
        <v>39</v>
      </c>
      <c r="M171" s="1" t="s">
        <v>39</v>
      </c>
      <c r="N171" s="1" t="s">
        <v>43</v>
      </c>
    </row>
    <row r="172" spans="1:14" x14ac:dyDescent="0.25">
      <c r="A172" s="1" t="s">
        <v>689</v>
      </c>
      <c r="B172" s="1" t="s">
        <v>690</v>
      </c>
      <c r="C172" s="1" t="s">
        <v>691</v>
      </c>
      <c r="D172" s="1" t="s">
        <v>48</v>
      </c>
      <c r="E172" s="1" t="s">
        <v>38</v>
      </c>
      <c r="F172" s="1" t="s">
        <v>39</v>
      </c>
      <c r="G172" s="2">
        <v>-54</v>
      </c>
      <c r="H172" s="2">
        <v>5090545.6399999997</v>
      </c>
      <c r="I172" s="1" t="s">
        <v>40</v>
      </c>
      <c r="J172" s="1" t="s">
        <v>49</v>
      </c>
      <c r="K172" s="1" t="s">
        <v>42</v>
      </c>
      <c r="L172" s="1" t="s">
        <v>39</v>
      </c>
      <c r="M172" s="1" t="s">
        <v>39</v>
      </c>
      <c r="N172" s="1" t="s">
        <v>43</v>
      </c>
    </row>
    <row r="173" spans="1:14" x14ac:dyDescent="0.25">
      <c r="A173" s="1" t="s">
        <v>694</v>
      </c>
      <c r="B173" s="1" t="s">
        <v>690</v>
      </c>
      <c r="C173" s="1" t="s">
        <v>695</v>
      </c>
      <c r="D173" s="1" t="s">
        <v>48</v>
      </c>
      <c r="E173" s="1" t="s">
        <v>38</v>
      </c>
      <c r="F173" s="1" t="s">
        <v>39</v>
      </c>
      <c r="G173" s="2">
        <v>-39</v>
      </c>
      <c r="H173" s="2">
        <v>5090599.6399999997</v>
      </c>
      <c r="I173" s="1" t="s">
        <v>40</v>
      </c>
      <c r="J173" s="1" t="s">
        <v>49</v>
      </c>
      <c r="K173" s="1" t="s">
        <v>42</v>
      </c>
      <c r="L173" s="1" t="s">
        <v>39</v>
      </c>
      <c r="M173" s="1" t="s">
        <v>39</v>
      </c>
      <c r="N173" s="1" t="s">
        <v>43</v>
      </c>
    </row>
    <row r="174" spans="1:14" x14ac:dyDescent="0.25">
      <c r="A174" s="1" t="s">
        <v>698</v>
      </c>
      <c r="B174" s="1" t="s">
        <v>699</v>
      </c>
      <c r="C174" s="1" t="s">
        <v>700</v>
      </c>
      <c r="D174" s="1" t="s">
        <v>48</v>
      </c>
      <c r="E174" s="1" t="s">
        <v>38</v>
      </c>
      <c r="F174" s="1" t="s">
        <v>39</v>
      </c>
      <c r="G174" s="2">
        <v>-115</v>
      </c>
      <c r="H174" s="2">
        <v>5095213.6399999997</v>
      </c>
      <c r="I174" s="1" t="s">
        <v>40</v>
      </c>
      <c r="J174" s="1" t="s">
        <v>49</v>
      </c>
      <c r="K174" s="1" t="s">
        <v>42</v>
      </c>
      <c r="L174" s="1" t="s">
        <v>39</v>
      </c>
      <c r="M174" s="1" t="s">
        <v>39</v>
      </c>
      <c r="N174" s="1" t="s">
        <v>43</v>
      </c>
    </row>
    <row r="175" spans="1:14" x14ac:dyDescent="0.25">
      <c r="A175" s="1" t="s">
        <v>703</v>
      </c>
      <c r="B175" s="1" t="s">
        <v>704</v>
      </c>
      <c r="C175" s="1" t="s">
        <v>691</v>
      </c>
      <c r="D175" s="1" t="s">
        <v>48</v>
      </c>
      <c r="E175" s="1" t="s">
        <v>38</v>
      </c>
      <c r="F175" s="1" t="s">
        <v>39</v>
      </c>
      <c r="G175" s="2">
        <v>-63</v>
      </c>
      <c r="H175" s="2">
        <v>5162757.6399999997</v>
      </c>
      <c r="I175" s="1" t="s">
        <v>40</v>
      </c>
      <c r="J175" s="1" t="s">
        <v>49</v>
      </c>
      <c r="K175" s="1" t="s">
        <v>42</v>
      </c>
      <c r="L175" s="1" t="s">
        <v>39</v>
      </c>
      <c r="M175" s="1" t="s">
        <v>39</v>
      </c>
      <c r="N175" s="1" t="s">
        <v>43</v>
      </c>
    </row>
    <row r="176" spans="1:14" x14ac:dyDescent="0.25">
      <c r="A176" s="1" t="s">
        <v>707</v>
      </c>
      <c r="B176" s="1" t="s">
        <v>700</v>
      </c>
      <c r="C176" s="1" t="s">
        <v>700</v>
      </c>
      <c r="D176" s="1" t="s">
        <v>48</v>
      </c>
      <c r="E176" s="1" t="s">
        <v>38</v>
      </c>
      <c r="F176" s="1" t="s">
        <v>39</v>
      </c>
      <c r="G176" s="2">
        <v>-48</v>
      </c>
      <c r="H176" s="2">
        <v>5162820.6399999997</v>
      </c>
      <c r="I176" s="1" t="s">
        <v>40</v>
      </c>
      <c r="J176" s="1" t="s">
        <v>49</v>
      </c>
      <c r="K176" s="1" t="s">
        <v>42</v>
      </c>
      <c r="L176" s="1" t="s">
        <v>39</v>
      </c>
      <c r="M176" s="1" t="s">
        <v>39</v>
      </c>
      <c r="N176" s="1" t="s">
        <v>43</v>
      </c>
    </row>
    <row r="177" spans="1:14" x14ac:dyDescent="0.25">
      <c r="A177" s="1" t="s">
        <v>710</v>
      </c>
      <c r="B177" s="1" t="s">
        <v>700</v>
      </c>
      <c r="C177" s="1" t="s">
        <v>700</v>
      </c>
      <c r="D177" s="1" t="s">
        <v>48</v>
      </c>
      <c r="E177" s="1" t="s">
        <v>38</v>
      </c>
      <c r="F177" s="1" t="s">
        <v>39</v>
      </c>
      <c r="G177" s="2">
        <v>-30</v>
      </c>
      <c r="H177" s="2">
        <v>5168112.6399999997</v>
      </c>
      <c r="I177" s="1" t="s">
        <v>40</v>
      </c>
      <c r="J177" s="1" t="s">
        <v>49</v>
      </c>
      <c r="K177" s="1" t="s">
        <v>42</v>
      </c>
      <c r="L177" s="1" t="s">
        <v>39</v>
      </c>
      <c r="M177" s="1" t="s">
        <v>39</v>
      </c>
      <c r="N177" s="1" t="s">
        <v>43</v>
      </c>
    </row>
    <row r="178" spans="1:14" x14ac:dyDescent="0.25">
      <c r="A178" s="1" t="s">
        <v>713</v>
      </c>
      <c r="B178" s="1" t="s">
        <v>714</v>
      </c>
      <c r="C178" s="1" t="s">
        <v>714</v>
      </c>
      <c r="D178" s="1" t="s">
        <v>48</v>
      </c>
      <c r="E178" s="1" t="s">
        <v>38</v>
      </c>
      <c r="F178" s="1" t="s">
        <v>39</v>
      </c>
      <c r="G178" s="2">
        <v>-54</v>
      </c>
      <c r="H178" s="2">
        <v>5180866.6399999997</v>
      </c>
      <c r="I178" s="1" t="s">
        <v>40</v>
      </c>
      <c r="J178" s="1" t="s">
        <v>49</v>
      </c>
      <c r="K178" s="1" t="s">
        <v>42</v>
      </c>
      <c r="L178" s="1" t="s">
        <v>39</v>
      </c>
      <c r="M178" s="1" t="s">
        <v>39</v>
      </c>
      <c r="N178" s="1" t="s">
        <v>43</v>
      </c>
    </row>
    <row r="179" spans="1:14" x14ac:dyDescent="0.25">
      <c r="A179" s="1" t="s">
        <v>717</v>
      </c>
      <c r="B179" s="1" t="s">
        <v>714</v>
      </c>
      <c r="C179" s="1" t="s">
        <v>714</v>
      </c>
      <c r="D179" s="1" t="s">
        <v>48</v>
      </c>
      <c r="E179" s="1" t="s">
        <v>38</v>
      </c>
      <c r="F179" s="1" t="s">
        <v>39</v>
      </c>
      <c r="G179" s="2">
        <v>-54</v>
      </c>
      <c r="H179" s="2">
        <v>5180920.6399999997</v>
      </c>
      <c r="I179" s="1" t="s">
        <v>40</v>
      </c>
      <c r="J179" s="1" t="s">
        <v>49</v>
      </c>
      <c r="K179" s="1" t="s">
        <v>42</v>
      </c>
      <c r="L179" s="1" t="s">
        <v>39</v>
      </c>
      <c r="M179" s="1" t="s">
        <v>39</v>
      </c>
      <c r="N179" s="1" t="s">
        <v>43</v>
      </c>
    </row>
    <row r="180" spans="1:14" x14ac:dyDescent="0.25">
      <c r="A180" s="1" t="s">
        <v>720</v>
      </c>
      <c r="B180" s="1" t="s">
        <v>714</v>
      </c>
      <c r="C180" s="1" t="s">
        <v>714</v>
      </c>
      <c r="D180" s="1" t="s">
        <v>48</v>
      </c>
      <c r="E180" s="1" t="s">
        <v>38</v>
      </c>
      <c r="F180" s="1" t="s">
        <v>39</v>
      </c>
      <c r="G180" s="2">
        <v>-48</v>
      </c>
      <c r="H180" s="2">
        <v>5194829.6399999997</v>
      </c>
      <c r="I180" s="1" t="s">
        <v>40</v>
      </c>
      <c r="J180" s="1" t="s">
        <v>49</v>
      </c>
      <c r="K180" s="1" t="s">
        <v>42</v>
      </c>
      <c r="L180" s="1" t="s">
        <v>39</v>
      </c>
      <c r="M180" s="1" t="s">
        <v>39</v>
      </c>
      <c r="N180" s="1" t="s">
        <v>43</v>
      </c>
    </row>
    <row r="181" spans="1:14" x14ac:dyDescent="0.25">
      <c r="A181" s="1" t="s">
        <v>723</v>
      </c>
      <c r="B181" s="1" t="s">
        <v>724</v>
      </c>
      <c r="C181" s="1" t="s">
        <v>724</v>
      </c>
      <c r="D181" s="1" t="s">
        <v>48</v>
      </c>
      <c r="E181" s="1" t="s">
        <v>38</v>
      </c>
      <c r="F181" s="1" t="s">
        <v>39</v>
      </c>
      <c r="G181" s="2">
        <v>-39</v>
      </c>
      <c r="H181" s="2">
        <v>5194877.6399999997</v>
      </c>
      <c r="I181" s="1" t="s">
        <v>40</v>
      </c>
      <c r="J181" s="1" t="s">
        <v>49</v>
      </c>
      <c r="K181" s="1" t="s">
        <v>42</v>
      </c>
      <c r="L181" s="1" t="s">
        <v>39</v>
      </c>
      <c r="M181" s="1" t="s">
        <v>39</v>
      </c>
      <c r="N181" s="1" t="s">
        <v>43</v>
      </c>
    </row>
    <row r="182" spans="1:14" x14ac:dyDescent="0.25">
      <c r="A182" s="1" t="s">
        <v>727</v>
      </c>
      <c r="B182" s="1" t="s">
        <v>728</v>
      </c>
      <c r="C182" s="1" t="s">
        <v>728</v>
      </c>
      <c r="D182" s="1" t="s">
        <v>48</v>
      </c>
      <c r="E182" s="1" t="s">
        <v>38</v>
      </c>
      <c r="F182" s="1" t="s">
        <v>39</v>
      </c>
      <c r="G182" s="2">
        <v>-48</v>
      </c>
      <c r="H182" s="2">
        <v>5199197.6399999997</v>
      </c>
      <c r="I182" s="1" t="s">
        <v>40</v>
      </c>
      <c r="J182" s="1" t="s">
        <v>49</v>
      </c>
      <c r="K182" s="1" t="s">
        <v>42</v>
      </c>
      <c r="L182" s="1" t="s">
        <v>39</v>
      </c>
      <c r="M182" s="1" t="s">
        <v>39</v>
      </c>
      <c r="N182" s="1" t="s">
        <v>43</v>
      </c>
    </row>
    <row r="183" spans="1:14" x14ac:dyDescent="0.25">
      <c r="A183" s="1" t="s">
        <v>731</v>
      </c>
      <c r="B183" s="1" t="s">
        <v>732</v>
      </c>
      <c r="C183" s="1" t="s">
        <v>732</v>
      </c>
      <c r="D183" s="1" t="s">
        <v>48</v>
      </c>
      <c r="E183" s="1" t="s">
        <v>38</v>
      </c>
      <c r="F183" s="1" t="s">
        <v>39</v>
      </c>
      <c r="G183" s="2">
        <v>-18</v>
      </c>
      <c r="H183" s="2">
        <v>5204531.6399999997</v>
      </c>
      <c r="I183" s="1" t="s">
        <v>40</v>
      </c>
      <c r="J183" s="1" t="s">
        <v>49</v>
      </c>
      <c r="K183" s="1" t="s">
        <v>42</v>
      </c>
      <c r="L183" s="1" t="s">
        <v>39</v>
      </c>
      <c r="M183" s="1" t="s">
        <v>39</v>
      </c>
      <c r="N183" s="1" t="s">
        <v>43</v>
      </c>
    </row>
    <row r="184" spans="1:14" x14ac:dyDescent="0.25">
      <c r="A184" s="1" t="s">
        <v>735</v>
      </c>
      <c r="B184" s="1" t="s">
        <v>732</v>
      </c>
      <c r="C184" s="1" t="s">
        <v>732</v>
      </c>
      <c r="D184" s="1" t="s">
        <v>48</v>
      </c>
      <c r="E184" s="1" t="s">
        <v>38</v>
      </c>
      <c r="F184" s="1" t="s">
        <v>39</v>
      </c>
      <c r="G184" s="2">
        <v>-39</v>
      </c>
      <c r="H184" s="2">
        <v>5205838.6399999997</v>
      </c>
      <c r="I184" s="1" t="s">
        <v>40</v>
      </c>
      <c r="J184" s="1" t="s">
        <v>49</v>
      </c>
      <c r="K184" s="1" t="s">
        <v>42</v>
      </c>
      <c r="L184" s="1" t="s">
        <v>39</v>
      </c>
      <c r="M184" s="1" t="s">
        <v>39</v>
      </c>
      <c r="N184" s="1" t="s">
        <v>43</v>
      </c>
    </row>
    <row r="185" spans="1:14" x14ac:dyDescent="0.25">
      <c r="A185" s="1" t="s">
        <v>738</v>
      </c>
      <c r="B185" s="1" t="s">
        <v>739</v>
      </c>
      <c r="C185" s="1" t="s">
        <v>740</v>
      </c>
      <c r="D185" s="1" t="s">
        <v>48</v>
      </c>
      <c r="E185" s="1" t="s">
        <v>38</v>
      </c>
      <c r="F185" s="1" t="s">
        <v>39</v>
      </c>
      <c r="G185" s="2">
        <v>-74</v>
      </c>
      <c r="H185" s="2">
        <v>5230992.6399999997</v>
      </c>
      <c r="I185" s="1" t="s">
        <v>40</v>
      </c>
      <c r="J185" s="1" t="s">
        <v>49</v>
      </c>
      <c r="K185" s="1" t="s">
        <v>42</v>
      </c>
      <c r="L185" s="1" t="s">
        <v>39</v>
      </c>
      <c r="M185" s="1" t="s">
        <v>39</v>
      </c>
      <c r="N185" s="1" t="s">
        <v>43</v>
      </c>
    </row>
    <row r="186" spans="1:14" x14ac:dyDescent="0.25">
      <c r="A186" s="1" t="s">
        <v>744</v>
      </c>
      <c r="B186" s="1" t="s">
        <v>745</v>
      </c>
      <c r="C186" s="1" t="s">
        <v>745</v>
      </c>
      <c r="D186" s="1" t="s">
        <v>48</v>
      </c>
      <c r="E186" s="1" t="s">
        <v>38</v>
      </c>
      <c r="F186" s="1" t="s">
        <v>39</v>
      </c>
      <c r="G186" s="2">
        <v>-30</v>
      </c>
      <c r="H186" s="2">
        <v>5231066.6399999997</v>
      </c>
      <c r="I186" s="1" t="s">
        <v>40</v>
      </c>
      <c r="J186" s="1" t="s">
        <v>49</v>
      </c>
      <c r="K186" s="1" t="s">
        <v>42</v>
      </c>
      <c r="L186" s="1" t="s">
        <v>39</v>
      </c>
      <c r="M186" s="1" t="s">
        <v>39</v>
      </c>
      <c r="N186" s="1" t="s">
        <v>43</v>
      </c>
    </row>
    <row r="187" spans="1:14" x14ac:dyDescent="0.25">
      <c r="A187" s="1" t="s">
        <v>748</v>
      </c>
      <c r="B187" s="1" t="s">
        <v>749</v>
      </c>
      <c r="C187" s="1" t="s">
        <v>749</v>
      </c>
      <c r="D187" s="1" t="s">
        <v>37</v>
      </c>
      <c r="E187" s="1" t="s">
        <v>38</v>
      </c>
      <c r="F187" s="1" t="s">
        <v>39</v>
      </c>
      <c r="G187" s="2">
        <v>-63</v>
      </c>
      <c r="H187" s="2">
        <v>5233846.6399999997</v>
      </c>
      <c r="I187" s="1" t="s">
        <v>40</v>
      </c>
      <c r="J187" s="1" t="s">
        <v>41</v>
      </c>
      <c r="K187" s="1" t="s">
        <v>42</v>
      </c>
      <c r="L187" s="1" t="s">
        <v>39</v>
      </c>
      <c r="M187" s="1" t="s">
        <v>39</v>
      </c>
      <c r="N187" s="1" t="s">
        <v>43</v>
      </c>
    </row>
    <row r="188" spans="1:14" x14ac:dyDescent="0.25">
      <c r="A188" s="1" t="s">
        <v>752</v>
      </c>
      <c r="B188" s="1" t="s">
        <v>753</v>
      </c>
      <c r="C188" s="1" t="s">
        <v>753</v>
      </c>
      <c r="D188" s="1" t="s">
        <v>48</v>
      </c>
      <c r="E188" s="1" t="s">
        <v>38</v>
      </c>
      <c r="F188" s="1" t="s">
        <v>39</v>
      </c>
      <c r="G188" s="2">
        <v>-8</v>
      </c>
      <c r="H188" s="2">
        <v>5244014.6399999997</v>
      </c>
      <c r="I188" s="1" t="s">
        <v>40</v>
      </c>
      <c r="J188" s="1" t="s">
        <v>49</v>
      </c>
      <c r="K188" s="1" t="s">
        <v>42</v>
      </c>
      <c r="L188" s="1" t="s">
        <v>39</v>
      </c>
      <c r="M188" s="1" t="s">
        <v>39</v>
      </c>
      <c r="N188" s="1" t="s">
        <v>43</v>
      </c>
    </row>
    <row r="189" spans="1:14" x14ac:dyDescent="0.25">
      <c r="A189" s="1" t="s">
        <v>757</v>
      </c>
      <c r="B189" s="1" t="s">
        <v>758</v>
      </c>
      <c r="C189" s="1" t="s">
        <v>759</v>
      </c>
      <c r="D189" s="1" t="s">
        <v>48</v>
      </c>
      <c r="E189" s="1" t="s">
        <v>38</v>
      </c>
      <c r="F189" s="1" t="s">
        <v>39</v>
      </c>
      <c r="G189" s="2">
        <v>-8</v>
      </c>
      <c r="H189" s="2">
        <v>5244162.6399999997</v>
      </c>
      <c r="I189" s="1" t="s">
        <v>40</v>
      </c>
      <c r="J189" s="1" t="s">
        <v>49</v>
      </c>
      <c r="K189" s="1" t="s">
        <v>42</v>
      </c>
      <c r="L189" s="1" t="s">
        <v>39</v>
      </c>
      <c r="M189" s="1" t="s">
        <v>39</v>
      </c>
      <c r="N189" s="1" t="s">
        <v>43</v>
      </c>
    </row>
    <row r="190" spans="1:14" x14ac:dyDescent="0.25">
      <c r="A190" s="1" t="s">
        <v>760</v>
      </c>
      <c r="B190" s="1" t="s">
        <v>761</v>
      </c>
      <c r="C190" s="1" t="s">
        <v>762</v>
      </c>
      <c r="D190" s="1" t="s">
        <v>48</v>
      </c>
      <c r="E190" s="1" t="s">
        <v>38</v>
      </c>
      <c r="F190" s="1" t="s">
        <v>39</v>
      </c>
      <c r="G190" s="2">
        <v>-8</v>
      </c>
      <c r="H190" s="2">
        <v>5244580.6399999997</v>
      </c>
      <c r="I190" s="1" t="s">
        <v>40</v>
      </c>
      <c r="J190" s="1" t="s">
        <v>49</v>
      </c>
      <c r="K190" s="1" t="s">
        <v>42</v>
      </c>
      <c r="L190" s="1" t="s">
        <v>39</v>
      </c>
      <c r="M190" s="1" t="s">
        <v>39</v>
      </c>
      <c r="N190" s="1" t="s">
        <v>43</v>
      </c>
    </row>
    <row r="191" spans="1:14" x14ac:dyDescent="0.25">
      <c r="A191" s="1" t="s">
        <v>763</v>
      </c>
      <c r="B191" s="1" t="s">
        <v>761</v>
      </c>
      <c r="C191" s="1" t="s">
        <v>761</v>
      </c>
      <c r="D191" s="1" t="s">
        <v>48</v>
      </c>
      <c r="E191" s="1" t="s">
        <v>38</v>
      </c>
      <c r="F191" s="1" t="s">
        <v>39</v>
      </c>
      <c r="G191" s="2">
        <v>-3</v>
      </c>
      <c r="H191" s="2">
        <v>5244860.6399999997</v>
      </c>
      <c r="I191" s="1" t="s">
        <v>40</v>
      </c>
      <c r="J191" s="1" t="s">
        <v>49</v>
      </c>
      <c r="K191" s="1" t="s">
        <v>42</v>
      </c>
      <c r="L191" s="1" t="s">
        <v>39</v>
      </c>
      <c r="M191" s="1" t="s">
        <v>39</v>
      </c>
      <c r="N191" s="1" t="s">
        <v>43</v>
      </c>
    </row>
    <row r="192" spans="1:14" x14ac:dyDescent="0.25">
      <c r="A192" s="1" t="s">
        <v>764</v>
      </c>
      <c r="B192" s="1" t="s">
        <v>765</v>
      </c>
      <c r="C192" s="1" t="s">
        <v>765</v>
      </c>
      <c r="D192" s="1" t="s">
        <v>48</v>
      </c>
      <c r="E192" s="1" t="s">
        <v>38</v>
      </c>
      <c r="F192" s="1" t="s">
        <v>39</v>
      </c>
      <c r="G192" s="2">
        <v>-3</v>
      </c>
      <c r="H192" s="2">
        <v>5244928.6399999997</v>
      </c>
      <c r="I192" s="1" t="s">
        <v>40</v>
      </c>
      <c r="J192" s="1" t="s">
        <v>49</v>
      </c>
      <c r="K192" s="1" t="s">
        <v>42</v>
      </c>
      <c r="L192" s="1" t="s">
        <v>39</v>
      </c>
      <c r="M192" s="1" t="s">
        <v>39</v>
      </c>
      <c r="N192" s="1" t="s">
        <v>43</v>
      </c>
    </row>
    <row r="193" spans="1:14" x14ac:dyDescent="0.25">
      <c r="A193" s="1" t="s">
        <v>766</v>
      </c>
      <c r="B193" s="1" t="s">
        <v>767</v>
      </c>
      <c r="C193" s="1" t="s">
        <v>768</v>
      </c>
      <c r="D193" s="1" t="s">
        <v>48</v>
      </c>
      <c r="E193" s="1" t="s">
        <v>38</v>
      </c>
      <c r="F193" s="1" t="s">
        <v>39</v>
      </c>
      <c r="G193" s="2">
        <v>-25</v>
      </c>
      <c r="H193" s="2">
        <v>5244989.6399999997</v>
      </c>
      <c r="I193" s="1" t="s">
        <v>40</v>
      </c>
      <c r="J193" s="1" t="s">
        <v>49</v>
      </c>
      <c r="K193" s="1" t="s">
        <v>42</v>
      </c>
      <c r="L193" s="1" t="s">
        <v>39</v>
      </c>
      <c r="M193" s="1" t="s">
        <v>39</v>
      </c>
      <c r="N193" s="1" t="s">
        <v>43</v>
      </c>
    </row>
    <row r="194" spans="1:14" x14ac:dyDescent="0.25">
      <c r="A194" s="1" t="s">
        <v>769</v>
      </c>
      <c r="B194" s="1" t="s">
        <v>770</v>
      </c>
      <c r="C194" s="1" t="s">
        <v>770</v>
      </c>
      <c r="D194" s="1" t="s">
        <v>48</v>
      </c>
      <c r="E194" s="1" t="s">
        <v>38</v>
      </c>
      <c r="F194" s="1" t="s">
        <v>39</v>
      </c>
      <c r="G194" s="2">
        <v>-48</v>
      </c>
      <c r="H194" s="2">
        <v>5246574.6399999997</v>
      </c>
      <c r="I194" s="1" t="s">
        <v>40</v>
      </c>
      <c r="J194" s="1" t="s">
        <v>49</v>
      </c>
      <c r="K194" s="1" t="s">
        <v>42</v>
      </c>
      <c r="L194" s="1" t="s">
        <v>39</v>
      </c>
      <c r="M194" s="1" t="s">
        <v>39</v>
      </c>
      <c r="N194" s="1" t="s">
        <v>43</v>
      </c>
    </row>
    <row r="195" spans="1:14" x14ac:dyDescent="0.25">
      <c r="A195" s="1" t="s">
        <v>773</v>
      </c>
      <c r="B195" s="1" t="s">
        <v>770</v>
      </c>
      <c r="C195" s="1" t="s">
        <v>770</v>
      </c>
      <c r="D195" s="1" t="s">
        <v>48</v>
      </c>
      <c r="E195" s="1" t="s">
        <v>38</v>
      </c>
      <c r="F195" s="1" t="s">
        <v>39</v>
      </c>
      <c r="G195" s="2">
        <v>-13</v>
      </c>
      <c r="H195" s="2">
        <v>5252345.6399999997</v>
      </c>
      <c r="I195" s="1" t="s">
        <v>40</v>
      </c>
      <c r="J195" s="1" t="s">
        <v>49</v>
      </c>
      <c r="K195" s="1" t="s">
        <v>42</v>
      </c>
      <c r="L195" s="1" t="s">
        <v>39</v>
      </c>
      <c r="M195" s="1" t="s">
        <v>39</v>
      </c>
      <c r="N195" s="1" t="s">
        <v>43</v>
      </c>
    </row>
    <row r="196" spans="1:14" x14ac:dyDescent="0.25">
      <c r="A196" s="1" t="s">
        <v>774</v>
      </c>
      <c r="B196" s="1" t="s">
        <v>775</v>
      </c>
      <c r="C196" s="1" t="s">
        <v>775</v>
      </c>
      <c r="D196" s="1" t="s">
        <v>48</v>
      </c>
      <c r="E196" s="1" t="s">
        <v>38</v>
      </c>
      <c r="F196" s="1" t="s">
        <v>39</v>
      </c>
      <c r="G196" s="2">
        <v>-18</v>
      </c>
      <c r="H196" s="2">
        <v>5253113.6399999997</v>
      </c>
      <c r="I196" s="1" t="s">
        <v>40</v>
      </c>
      <c r="J196" s="1" t="s">
        <v>49</v>
      </c>
      <c r="K196" s="1" t="s">
        <v>42</v>
      </c>
      <c r="L196" s="1" t="s">
        <v>39</v>
      </c>
      <c r="M196" s="1" t="s">
        <v>39</v>
      </c>
      <c r="N196" s="1" t="s">
        <v>43</v>
      </c>
    </row>
    <row r="197" spans="1:14" x14ac:dyDescent="0.25">
      <c r="A197" s="1" t="s">
        <v>776</v>
      </c>
      <c r="B197" s="1" t="s">
        <v>775</v>
      </c>
      <c r="C197" s="1" t="s">
        <v>775</v>
      </c>
      <c r="D197" s="1" t="s">
        <v>48</v>
      </c>
      <c r="E197" s="1" t="s">
        <v>38</v>
      </c>
      <c r="F197" s="1" t="s">
        <v>39</v>
      </c>
      <c r="G197" s="2">
        <v>-8</v>
      </c>
      <c r="H197" s="2">
        <v>5254530.6399999997</v>
      </c>
      <c r="I197" s="1" t="s">
        <v>40</v>
      </c>
      <c r="J197" s="1" t="s">
        <v>49</v>
      </c>
      <c r="K197" s="1" t="s">
        <v>42</v>
      </c>
      <c r="L197" s="1" t="s">
        <v>39</v>
      </c>
      <c r="M197" s="1" t="s">
        <v>39</v>
      </c>
      <c r="N197" s="1" t="s">
        <v>43</v>
      </c>
    </row>
    <row r="198" spans="1:14" x14ac:dyDescent="0.25">
      <c r="A198" s="1" t="s">
        <v>777</v>
      </c>
      <c r="B198" s="1" t="s">
        <v>778</v>
      </c>
      <c r="C198" s="1" t="s">
        <v>778</v>
      </c>
      <c r="D198" s="1" t="s">
        <v>48</v>
      </c>
      <c r="E198" s="1" t="s">
        <v>38</v>
      </c>
      <c r="F198" s="1" t="s">
        <v>39</v>
      </c>
      <c r="G198" s="2">
        <v>-8</v>
      </c>
      <c r="H198" s="2">
        <v>5254672.6399999997</v>
      </c>
      <c r="I198" s="1" t="s">
        <v>40</v>
      </c>
      <c r="J198" s="1" t="s">
        <v>49</v>
      </c>
      <c r="K198" s="1" t="s">
        <v>42</v>
      </c>
      <c r="L198" s="1" t="s">
        <v>39</v>
      </c>
      <c r="M198" s="1" t="s">
        <v>39</v>
      </c>
      <c r="N198" s="1" t="s">
        <v>43</v>
      </c>
    </row>
    <row r="199" spans="1:14" x14ac:dyDescent="0.25">
      <c r="A199" s="1" t="s">
        <v>781</v>
      </c>
      <c r="B199" s="1" t="s">
        <v>778</v>
      </c>
      <c r="C199" s="1" t="s">
        <v>778</v>
      </c>
      <c r="D199" s="1" t="s">
        <v>48</v>
      </c>
      <c r="E199" s="1" t="s">
        <v>38</v>
      </c>
      <c r="F199" s="1" t="s">
        <v>39</v>
      </c>
      <c r="G199" s="2">
        <v>-39</v>
      </c>
      <c r="H199" s="2">
        <v>5254814.6399999997</v>
      </c>
      <c r="I199" s="1" t="s">
        <v>40</v>
      </c>
      <c r="J199" s="1" t="s">
        <v>49</v>
      </c>
      <c r="K199" s="1" t="s">
        <v>42</v>
      </c>
      <c r="L199" s="1" t="s">
        <v>39</v>
      </c>
      <c r="M199" s="1" t="s">
        <v>39</v>
      </c>
      <c r="N199" s="1" t="s">
        <v>43</v>
      </c>
    </row>
    <row r="200" spans="1:14" x14ac:dyDescent="0.25">
      <c r="A200" s="1" t="s">
        <v>784</v>
      </c>
      <c r="B200" s="1" t="s">
        <v>785</v>
      </c>
      <c r="C200" s="1" t="s">
        <v>785</v>
      </c>
      <c r="D200" s="1" t="s">
        <v>48</v>
      </c>
      <c r="E200" s="1" t="s">
        <v>38</v>
      </c>
      <c r="F200" s="1" t="s">
        <v>39</v>
      </c>
      <c r="G200" s="2">
        <v>-8</v>
      </c>
      <c r="H200" s="2">
        <v>5258973.6399999997</v>
      </c>
      <c r="I200" s="1" t="s">
        <v>40</v>
      </c>
      <c r="J200" s="1" t="s">
        <v>49</v>
      </c>
      <c r="K200" s="1" t="s">
        <v>42</v>
      </c>
      <c r="L200" s="1" t="s">
        <v>39</v>
      </c>
      <c r="M200" s="1" t="s">
        <v>39</v>
      </c>
      <c r="N200" s="1" t="s">
        <v>43</v>
      </c>
    </row>
    <row r="201" spans="1:14" x14ac:dyDescent="0.25">
      <c r="A201" s="1" t="s">
        <v>786</v>
      </c>
      <c r="B201" s="1" t="s">
        <v>787</v>
      </c>
      <c r="C201" s="1" t="s">
        <v>788</v>
      </c>
      <c r="D201" s="1" t="s">
        <v>48</v>
      </c>
      <c r="E201" s="1" t="s">
        <v>38</v>
      </c>
      <c r="F201" s="1" t="s">
        <v>39</v>
      </c>
      <c r="G201" s="2">
        <v>-13</v>
      </c>
      <c r="H201" s="2">
        <v>5259801.6399999997</v>
      </c>
      <c r="I201" s="1" t="s">
        <v>40</v>
      </c>
      <c r="J201" s="1" t="s">
        <v>49</v>
      </c>
      <c r="K201" s="1" t="s">
        <v>42</v>
      </c>
      <c r="L201" s="1" t="s">
        <v>39</v>
      </c>
      <c r="M201" s="1" t="s">
        <v>39</v>
      </c>
      <c r="N201" s="1" t="s">
        <v>43</v>
      </c>
    </row>
    <row r="202" spans="1:14" x14ac:dyDescent="0.25">
      <c r="A202" s="1" t="s">
        <v>789</v>
      </c>
      <c r="B202" s="1" t="s">
        <v>790</v>
      </c>
      <c r="C202" s="1" t="s">
        <v>791</v>
      </c>
      <c r="D202" s="1" t="s">
        <v>48</v>
      </c>
      <c r="E202" s="1" t="s">
        <v>38</v>
      </c>
      <c r="F202" s="1" t="s">
        <v>39</v>
      </c>
      <c r="G202" s="2">
        <v>-48</v>
      </c>
      <c r="H202" s="2">
        <v>5259814.6399999997</v>
      </c>
      <c r="I202" s="1" t="s">
        <v>40</v>
      </c>
      <c r="J202" s="1" t="s">
        <v>49</v>
      </c>
      <c r="K202" s="1" t="s">
        <v>42</v>
      </c>
      <c r="L202" s="1" t="s">
        <v>39</v>
      </c>
      <c r="M202" s="1" t="s">
        <v>39</v>
      </c>
      <c r="N202" s="1" t="s">
        <v>43</v>
      </c>
    </row>
    <row r="203" spans="1:14" x14ac:dyDescent="0.25">
      <c r="A203" s="1" t="s">
        <v>794</v>
      </c>
      <c r="B203" s="1" t="s">
        <v>795</v>
      </c>
      <c r="C203" s="1" t="s">
        <v>795</v>
      </c>
      <c r="D203" s="1" t="s">
        <v>48</v>
      </c>
      <c r="E203" s="1" t="s">
        <v>38</v>
      </c>
      <c r="F203" s="1" t="s">
        <v>39</v>
      </c>
      <c r="G203" s="2">
        <v>-115</v>
      </c>
      <c r="H203" s="2">
        <v>5265056.6399999997</v>
      </c>
      <c r="I203" s="1" t="s">
        <v>40</v>
      </c>
      <c r="J203" s="1" t="s">
        <v>49</v>
      </c>
      <c r="K203" s="1" t="s">
        <v>42</v>
      </c>
      <c r="L203" s="1" t="s">
        <v>39</v>
      </c>
      <c r="M203" s="1" t="s">
        <v>39</v>
      </c>
      <c r="N203" s="1" t="s">
        <v>43</v>
      </c>
    </row>
    <row r="204" spans="1:14" x14ac:dyDescent="0.25">
      <c r="A204" s="1" t="s">
        <v>802</v>
      </c>
      <c r="B204" s="1" t="s">
        <v>803</v>
      </c>
      <c r="C204" s="1" t="s">
        <v>803</v>
      </c>
      <c r="D204" s="1" t="s">
        <v>48</v>
      </c>
      <c r="E204" s="1" t="s">
        <v>38</v>
      </c>
      <c r="F204" s="1" t="s">
        <v>39</v>
      </c>
      <c r="G204" s="2">
        <v>-39</v>
      </c>
      <c r="H204" s="2">
        <v>5316412.6399999997</v>
      </c>
      <c r="I204" s="1" t="s">
        <v>40</v>
      </c>
      <c r="J204" s="1" t="s">
        <v>49</v>
      </c>
      <c r="K204" s="1" t="s">
        <v>42</v>
      </c>
      <c r="L204" s="1" t="s">
        <v>39</v>
      </c>
      <c r="M204" s="1" t="s">
        <v>39</v>
      </c>
      <c r="N204" s="1" t="s">
        <v>43</v>
      </c>
    </row>
    <row r="205" spans="1:14" x14ac:dyDescent="0.25">
      <c r="A205" s="1" t="s">
        <v>806</v>
      </c>
      <c r="B205" s="1" t="s">
        <v>807</v>
      </c>
      <c r="C205" s="1" t="s">
        <v>807</v>
      </c>
      <c r="D205" s="1" t="s">
        <v>48</v>
      </c>
      <c r="E205" s="1" t="s">
        <v>38</v>
      </c>
      <c r="F205" s="1" t="s">
        <v>39</v>
      </c>
      <c r="G205" s="2">
        <v>-13</v>
      </c>
      <c r="H205" s="2">
        <v>5320018.6399999997</v>
      </c>
      <c r="I205" s="1" t="s">
        <v>40</v>
      </c>
      <c r="J205" s="1" t="s">
        <v>49</v>
      </c>
      <c r="K205" s="1" t="s">
        <v>42</v>
      </c>
      <c r="L205" s="1" t="s">
        <v>39</v>
      </c>
      <c r="M205" s="1" t="s">
        <v>39</v>
      </c>
      <c r="N205" s="1" t="s">
        <v>43</v>
      </c>
    </row>
    <row r="206" spans="1:14" x14ac:dyDescent="0.25">
      <c r="A206" s="1" t="s">
        <v>810</v>
      </c>
      <c r="B206" s="1" t="s">
        <v>807</v>
      </c>
      <c r="C206" s="1" t="s">
        <v>811</v>
      </c>
      <c r="D206" s="1" t="s">
        <v>48</v>
      </c>
      <c r="E206" s="1" t="s">
        <v>38</v>
      </c>
      <c r="F206" s="1" t="s">
        <v>39</v>
      </c>
      <c r="G206" s="2">
        <v>-30</v>
      </c>
      <c r="H206" s="2">
        <v>5323351.6399999997</v>
      </c>
      <c r="I206" s="1" t="s">
        <v>40</v>
      </c>
      <c r="J206" s="1" t="s">
        <v>49</v>
      </c>
      <c r="K206" s="1" t="s">
        <v>42</v>
      </c>
      <c r="L206" s="1" t="s">
        <v>39</v>
      </c>
      <c r="M206" s="1" t="s">
        <v>39</v>
      </c>
      <c r="N206" s="1" t="s">
        <v>43</v>
      </c>
    </row>
    <row r="207" spans="1:14" x14ac:dyDescent="0.25">
      <c r="A207" s="1" t="s">
        <v>814</v>
      </c>
      <c r="B207" s="1" t="s">
        <v>807</v>
      </c>
      <c r="C207" s="1" t="s">
        <v>811</v>
      </c>
      <c r="D207" s="1" t="s">
        <v>48</v>
      </c>
      <c r="E207" s="1" t="s">
        <v>38</v>
      </c>
      <c r="F207" s="1" t="s">
        <v>39</v>
      </c>
      <c r="G207" s="2">
        <v>-48</v>
      </c>
      <c r="H207" s="2">
        <v>5329357.6399999997</v>
      </c>
      <c r="I207" s="1" t="s">
        <v>40</v>
      </c>
      <c r="J207" s="1" t="s">
        <v>49</v>
      </c>
      <c r="K207" s="1" t="s">
        <v>42</v>
      </c>
      <c r="L207" s="1" t="s">
        <v>39</v>
      </c>
      <c r="M207" s="1" t="s">
        <v>39</v>
      </c>
      <c r="N207" s="1" t="s">
        <v>43</v>
      </c>
    </row>
    <row r="208" spans="1:14" x14ac:dyDescent="0.25">
      <c r="A208" s="1" t="s">
        <v>817</v>
      </c>
      <c r="B208" s="1" t="s">
        <v>811</v>
      </c>
      <c r="C208" s="1" t="s">
        <v>811</v>
      </c>
      <c r="D208" s="1" t="s">
        <v>48</v>
      </c>
      <c r="E208" s="1" t="s">
        <v>38</v>
      </c>
      <c r="F208" s="1" t="s">
        <v>39</v>
      </c>
      <c r="G208" s="2">
        <v>-30</v>
      </c>
      <c r="H208" s="2">
        <v>5329405.6399999997</v>
      </c>
      <c r="I208" s="1" t="s">
        <v>40</v>
      </c>
      <c r="J208" s="1" t="s">
        <v>49</v>
      </c>
      <c r="K208" s="1" t="s">
        <v>42</v>
      </c>
      <c r="L208" s="1" t="s">
        <v>39</v>
      </c>
      <c r="M208" s="1" t="s">
        <v>39</v>
      </c>
      <c r="N208" s="1" t="s">
        <v>43</v>
      </c>
    </row>
    <row r="209" spans="1:14" x14ac:dyDescent="0.25">
      <c r="A209" s="1" t="s">
        <v>820</v>
      </c>
      <c r="B209" s="1" t="s">
        <v>821</v>
      </c>
      <c r="C209" s="1" t="s">
        <v>822</v>
      </c>
      <c r="D209" s="1" t="s">
        <v>48</v>
      </c>
      <c r="E209" s="1" t="s">
        <v>38</v>
      </c>
      <c r="F209" s="1" t="s">
        <v>39</v>
      </c>
      <c r="G209" s="2">
        <v>-25</v>
      </c>
      <c r="H209" s="2">
        <v>5335200.6399999997</v>
      </c>
      <c r="I209" s="1" t="s">
        <v>40</v>
      </c>
      <c r="J209" s="1" t="s">
        <v>49</v>
      </c>
      <c r="K209" s="1" t="s">
        <v>42</v>
      </c>
      <c r="L209" s="1" t="s">
        <v>39</v>
      </c>
      <c r="M209" s="1" t="s">
        <v>39</v>
      </c>
      <c r="N209" s="1" t="s">
        <v>43</v>
      </c>
    </row>
    <row r="210" spans="1:14" x14ac:dyDescent="0.25">
      <c r="A210" s="1" t="s">
        <v>825</v>
      </c>
      <c r="B210" s="1" t="s">
        <v>826</v>
      </c>
      <c r="C210" s="1" t="s">
        <v>826</v>
      </c>
      <c r="D210" s="1" t="s">
        <v>48</v>
      </c>
      <c r="E210" s="1" t="s">
        <v>38</v>
      </c>
      <c r="F210" s="1" t="s">
        <v>39</v>
      </c>
      <c r="G210" s="2">
        <v>-39</v>
      </c>
      <c r="H210" s="2">
        <v>5335225.6399999997</v>
      </c>
      <c r="I210" s="1" t="s">
        <v>40</v>
      </c>
      <c r="J210" s="1" t="s">
        <v>49</v>
      </c>
      <c r="K210" s="1" t="s">
        <v>42</v>
      </c>
      <c r="L210" s="1" t="s">
        <v>39</v>
      </c>
      <c r="M210" s="1" t="s">
        <v>39</v>
      </c>
      <c r="N210" s="1" t="s">
        <v>43</v>
      </c>
    </row>
    <row r="211" spans="1:14" x14ac:dyDescent="0.25">
      <c r="A211" s="1" t="s">
        <v>829</v>
      </c>
      <c r="B211" s="1" t="s">
        <v>822</v>
      </c>
      <c r="C211" s="1" t="s">
        <v>822</v>
      </c>
      <c r="D211" s="1" t="s">
        <v>48</v>
      </c>
      <c r="E211" s="1" t="s">
        <v>38</v>
      </c>
      <c r="F211" s="1" t="s">
        <v>39</v>
      </c>
      <c r="G211" s="2">
        <v>-30</v>
      </c>
      <c r="H211" s="2">
        <v>5338917.6399999997</v>
      </c>
      <c r="I211" s="1" t="s">
        <v>40</v>
      </c>
      <c r="J211" s="1" t="s">
        <v>49</v>
      </c>
      <c r="K211" s="1" t="s">
        <v>42</v>
      </c>
      <c r="L211" s="1" t="s">
        <v>39</v>
      </c>
      <c r="M211" s="1" t="s">
        <v>39</v>
      </c>
      <c r="N211" s="1" t="s">
        <v>43</v>
      </c>
    </row>
    <row r="212" spans="1:14" x14ac:dyDescent="0.25">
      <c r="A212" s="1" t="s">
        <v>832</v>
      </c>
      <c r="B212" s="1" t="s">
        <v>822</v>
      </c>
      <c r="C212" s="1" t="s">
        <v>833</v>
      </c>
      <c r="D212" s="1" t="s">
        <v>48</v>
      </c>
      <c r="E212" s="1" t="s">
        <v>38</v>
      </c>
      <c r="F212" s="1" t="s">
        <v>39</v>
      </c>
      <c r="G212" s="2">
        <v>-39</v>
      </c>
      <c r="H212" s="2">
        <v>5341474.6399999997</v>
      </c>
      <c r="I212" s="1" t="s">
        <v>40</v>
      </c>
      <c r="J212" s="1" t="s">
        <v>49</v>
      </c>
      <c r="K212" s="1" t="s">
        <v>42</v>
      </c>
      <c r="L212" s="1" t="s">
        <v>39</v>
      </c>
      <c r="M212" s="1" t="s">
        <v>39</v>
      </c>
      <c r="N212" s="1" t="s">
        <v>43</v>
      </c>
    </row>
    <row r="213" spans="1:14" x14ac:dyDescent="0.25">
      <c r="A213" s="1" t="s">
        <v>836</v>
      </c>
      <c r="B213" s="1" t="s">
        <v>837</v>
      </c>
      <c r="C213" s="1" t="s">
        <v>833</v>
      </c>
      <c r="D213" s="1" t="s">
        <v>48</v>
      </c>
      <c r="E213" s="1" t="s">
        <v>38</v>
      </c>
      <c r="F213" s="1" t="s">
        <v>39</v>
      </c>
      <c r="G213" s="2">
        <v>-48</v>
      </c>
      <c r="H213" s="2">
        <v>5352772.6399999997</v>
      </c>
      <c r="I213" s="1" t="s">
        <v>40</v>
      </c>
      <c r="J213" s="1" t="s">
        <v>49</v>
      </c>
      <c r="K213" s="1" t="s">
        <v>42</v>
      </c>
      <c r="L213" s="1" t="s">
        <v>39</v>
      </c>
      <c r="M213" s="1" t="s">
        <v>39</v>
      </c>
      <c r="N213" s="1" t="s">
        <v>43</v>
      </c>
    </row>
    <row r="214" spans="1:14" x14ac:dyDescent="0.25">
      <c r="A214" s="1" t="s">
        <v>840</v>
      </c>
      <c r="B214" s="1" t="s">
        <v>833</v>
      </c>
      <c r="C214" s="1" t="s">
        <v>833</v>
      </c>
      <c r="D214" s="1" t="s">
        <v>48</v>
      </c>
      <c r="E214" s="1" t="s">
        <v>38</v>
      </c>
      <c r="F214" s="1" t="s">
        <v>39</v>
      </c>
      <c r="G214" s="2">
        <v>-48</v>
      </c>
      <c r="H214" s="2">
        <v>5352820.6399999997</v>
      </c>
      <c r="I214" s="1" t="s">
        <v>40</v>
      </c>
      <c r="J214" s="1" t="s">
        <v>49</v>
      </c>
      <c r="K214" s="1" t="s">
        <v>42</v>
      </c>
      <c r="L214" s="1" t="s">
        <v>39</v>
      </c>
      <c r="M214" s="1" t="s">
        <v>39</v>
      </c>
      <c r="N214" s="1" t="s">
        <v>43</v>
      </c>
    </row>
    <row r="215" spans="1:14" x14ac:dyDescent="0.25">
      <c r="A215" s="1" t="s">
        <v>843</v>
      </c>
      <c r="B215" s="1" t="s">
        <v>833</v>
      </c>
      <c r="C215" s="1" t="s">
        <v>833</v>
      </c>
      <c r="D215" s="1" t="s">
        <v>48</v>
      </c>
      <c r="E215" s="1" t="s">
        <v>38</v>
      </c>
      <c r="F215" s="1" t="s">
        <v>39</v>
      </c>
      <c r="G215" s="2">
        <v>-63</v>
      </c>
      <c r="H215" s="2">
        <v>5359143.6399999997</v>
      </c>
      <c r="I215" s="1" t="s">
        <v>40</v>
      </c>
      <c r="J215" s="1" t="s">
        <v>49</v>
      </c>
      <c r="K215" s="1" t="s">
        <v>42</v>
      </c>
      <c r="L215" s="1" t="s">
        <v>39</v>
      </c>
      <c r="M215" s="1" t="s">
        <v>39</v>
      </c>
      <c r="N215" s="1" t="s">
        <v>43</v>
      </c>
    </row>
    <row r="216" spans="1:14" x14ac:dyDescent="0.25">
      <c r="A216" s="1" t="s">
        <v>846</v>
      </c>
      <c r="B216" s="1" t="s">
        <v>847</v>
      </c>
      <c r="C216" s="1" t="s">
        <v>847</v>
      </c>
      <c r="D216" s="1" t="s">
        <v>48</v>
      </c>
      <c r="E216" s="1" t="s">
        <v>38</v>
      </c>
      <c r="F216" s="1" t="s">
        <v>39</v>
      </c>
      <c r="G216" s="2">
        <v>-63</v>
      </c>
      <c r="H216" s="2">
        <v>5372888.6399999997</v>
      </c>
      <c r="I216" s="1" t="s">
        <v>40</v>
      </c>
      <c r="J216" s="1" t="s">
        <v>49</v>
      </c>
      <c r="K216" s="1" t="s">
        <v>42</v>
      </c>
      <c r="L216" s="1" t="s">
        <v>39</v>
      </c>
      <c r="M216" s="1" t="s">
        <v>39</v>
      </c>
      <c r="N216" s="1" t="s">
        <v>43</v>
      </c>
    </row>
    <row r="217" spans="1:14" x14ac:dyDescent="0.25">
      <c r="A217" s="1" t="s">
        <v>850</v>
      </c>
      <c r="B217" s="1" t="s">
        <v>851</v>
      </c>
      <c r="C217" s="1" t="s">
        <v>851</v>
      </c>
      <c r="D217" s="1" t="s">
        <v>48</v>
      </c>
      <c r="E217" s="1" t="s">
        <v>38</v>
      </c>
      <c r="F217" s="1" t="s">
        <v>39</v>
      </c>
      <c r="G217" s="2">
        <v>-48</v>
      </c>
      <c r="H217" s="2">
        <v>5383297.6399999997</v>
      </c>
      <c r="I217" s="1" t="s">
        <v>40</v>
      </c>
      <c r="J217" s="1" t="s">
        <v>49</v>
      </c>
      <c r="K217" s="1" t="s">
        <v>42</v>
      </c>
      <c r="L217" s="1" t="s">
        <v>39</v>
      </c>
      <c r="M217" s="1" t="s">
        <v>39</v>
      </c>
      <c r="N217" s="1" t="s">
        <v>43</v>
      </c>
    </row>
    <row r="218" spans="1:14" x14ac:dyDescent="0.25">
      <c r="A218" s="1" t="s">
        <v>854</v>
      </c>
      <c r="B218" s="1" t="s">
        <v>855</v>
      </c>
      <c r="C218" s="1" t="s">
        <v>855</v>
      </c>
      <c r="D218" s="1" t="s">
        <v>48</v>
      </c>
      <c r="E218" s="1" t="s">
        <v>38</v>
      </c>
      <c r="F218" s="1" t="s">
        <v>39</v>
      </c>
      <c r="G218" s="2">
        <v>-39</v>
      </c>
      <c r="H218" s="2">
        <v>5388605.6399999997</v>
      </c>
      <c r="I218" s="1" t="s">
        <v>40</v>
      </c>
      <c r="J218" s="1" t="s">
        <v>49</v>
      </c>
      <c r="K218" s="1" t="s">
        <v>42</v>
      </c>
      <c r="L218" s="1" t="s">
        <v>39</v>
      </c>
      <c r="M218" s="1" t="s">
        <v>39</v>
      </c>
      <c r="N218" s="1" t="s">
        <v>43</v>
      </c>
    </row>
    <row r="219" spans="1:14" x14ac:dyDescent="0.25">
      <c r="A219" s="1" t="s">
        <v>858</v>
      </c>
      <c r="B219" s="1" t="s">
        <v>859</v>
      </c>
      <c r="C219" s="1" t="s">
        <v>860</v>
      </c>
      <c r="D219" s="1" t="s">
        <v>48</v>
      </c>
      <c r="E219" s="1" t="s">
        <v>38</v>
      </c>
      <c r="F219" s="1" t="s">
        <v>39</v>
      </c>
      <c r="G219" s="2">
        <v>-48</v>
      </c>
      <c r="H219" s="2">
        <v>5398767.6399999997</v>
      </c>
      <c r="I219" s="1" t="s">
        <v>40</v>
      </c>
      <c r="J219" s="1" t="s">
        <v>49</v>
      </c>
      <c r="K219" s="1" t="s">
        <v>42</v>
      </c>
      <c r="L219" s="1" t="s">
        <v>39</v>
      </c>
      <c r="M219" s="1" t="s">
        <v>39</v>
      </c>
      <c r="N219" s="1" t="s">
        <v>43</v>
      </c>
    </row>
    <row r="220" spans="1:14" x14ac:dyDescent="0.25">
      <c r="A220" s="1" t="s">
        <v>863</v>
      </c>
      <c r="B220" s="1" t="s">
        <v>864</v>
      </c>
      <c r="C220" s="1" t="s">
        <v>864</v>
      </c>
      <c r="D220" s="1" t="s">
        <v>48</v>
      </c>
      <c r="E220" s="1" t="s">
        <v>38</v>
      </c>
      <c r="F220" s="1" t="s">
        <v>39</v>
      </c>
      <c r="G220" s="2">
        <v>-63</v>
      </c>
      <c r="H220" s="2">
        <v>5398815.6399999997</v>
      </c>
      <c r="I220" s="1" t="s">
        <v>40</v>
      </c>
      <c r="J220" s="1" t="s">
        <v>49</v>
      </c>
      <c r="K220" s="1" t="s">
        <v>42</v>
      </c>
      <c r="L220" s="1" t="s">
        <v>39</v>
      </c>
      <c r="M220" s="1" t="s">
        <v>39</v>
      </c>
      <c r="N220" s="1" t="s">
        <v>43</v>
      </c>
    </row>
    <row r="221" spans="1:14" x14ac:dyDescent="0.25">
      <c r="A221" s="1" t="s">
        <v>867</v>
      </c>
      <c r="B221" s="1" t="s">
        <v>868</v>
      </c>
      <c r="C221" s="1" t="s">
        <v>869</v>
      </c>
      <c r="D221" s="1" t="s">
        <v>48</v>
      </c>
      <c r="E221" s="1" t="s">
        <v>38</v>
      </c>
      <c r="F221" s="1" t="s">
        <v>39</v>
      </c>
      <c r="G221" s="2">
        <v>-74</v>
      </c>
      <c r="H221" s="2">
        <v>5432915.6399999997</v>
      </c>
      <c r="I221" s="1" t="s">
        <v>40</v>
      </c>
      <c r="J221" s="1" t="s">
        <v>49</v>
      </c>
      <c r="K221" s="1" t="s">
        <v>42</v>
      </c>
      <c r="L221" s="1" t="s">
        <v>39</v>
      </c>
      <c r="M221" s="1" t="s">
        <v>39</v>
      </c>
      <c r="N221" s="1" t="s">
        <v>43</v>
      </c>
    </row>
    <row r="222" spans="1:14" x14ac:dyDescent="0.25">
      <c r="A222" s="1" t="s">
        <v>872</v>
      </c>
      <c r="B222" s="1" t="s">
        <v>873</v>
      </c>
      <c r="C222" s="1" t="s">
        <v>873</v>
      </c>
      <c r="D222" s="1" t="s">
        <v>48</v>
      </c>
      <c r="E222" s="1" t="s">
        <v>38</v>
      </c>
      <c r="F222" s="1" t="s">
        <v>39</v>
      </c>
      <c r="G222" s="2">
        <v>-115</v>
      </c>
      <c r="H222" s="2">
        <v>5432989.6399999997</v>
      </c>
      <c r="I222" s="1" t="s">
        <v>40</v>
      </c>
      <c r="J222" s="1" t="s">
        <v>49</v>
      </c>
      <c r="K222" s="1" t="s">
        <v>42</v>
      </c>
      <c r="L222" s="1" t="s">
        <v>39</v>
      </c>
      <c r="M222" s="1" t="s">
        <v>39</v>
      </c>
      <c r="N222" s="1" t="s">
        <v>43</v>
      </c>
    </row>
    <row r="223" spans="1:14" x14ac:dyDescent="0.25">
      <c r="A223" s="1" t="s">
        <v>876</v>
      </c>
      <c r="B223" s="1" t="s">
        <v>877</v>
      </c>
      <c r="C223" s="1" t="s">
        <v>878</v>
      </c>
      <c r="D223" s="1" t="s">
        <v>48</v>
      </c>
      <c r="E223" s="1" t="s">
        <v>38</v>
      </c>
      <c r="F223" s="1" t="s">
        <v>39</v>
      </c>
      <c r="G223" s="2">
        <v>-79</v>
      </c>
      <c r="H223" s="2">
        <v>5509219.6399999997</v>
      </c>
      <c r="I223" s="1" t="s">
        <v>40</v>
      </c>
      <c r="J223" s="1" t="s">
        <v>49</v>
      </c>
      <c r="K223" s="1" t="s">
        <v>42</v>
      </c>
      <c r="L223" s="1" t="s">
        <v>39</v>
      </c>
      <c r="M223" s="1" t="s">
        <v>39</v>
      </c>
      <c r="N223" s="1" t="s">
        <v>43</v>
      </c>
    </row>
    <row r="224" spans="1:14" x14ac:dyDescent="0.25">
      <c r="A224" s="1" t="s">
        <v>882</v>
      </c>
      <c r="B224" s="1" t="s">
        <v>883</v>
      </c>
      <c r="C224" s="1" t="s">
        <v>883</v>
      </c>
      <c r="D224" s="1" t="s">
        <v>48</v>
      </c>
      <c r="E224" s="1" t="s">
        <v>38</v>
      </c>
      <c r="F224" s="1" t="s">
        <v>39</v>
      </c>
      <c r="G224" s="2">
        <v>-63</v>
      </c>
      <c r="H224" s="2">
        <v>5509298.6399999997</v>
      </c>
      <c r="I224" s="1" t="s">
        <v>40</v>
      </c>
      <c r="J224" s="1" t="s">
        <v>49</v>
      </c>
      <c r="K224" s="1" t="s">
        <v>42</v>
      </c>
      <c r="L224" s="1" t="s">
        <v>39</v>
      </c>
      <c r="M224" s="1" t="s">
        <v>39</v>
      </c>
      <c r="N224" s="1" t="s">
        <v>43</v>
      </c>
    </row>
    <row r="225" spans="1:14" x14ac:dyDescent="0.25">
      <c r="A225" s="1" t="s">
        <v>887</v>
      </c>
      <c r="B225" s="1" t="s">
        <v>888</v>
      </c>
      <c r="C225" s="1" t="s">
        <v>888</v>
      </c>
      <c r="D225" s="1" t="s">
        <v>37</v>
      </c>
      <c r="E225" s="1" t="s">
        <v>38</v>
      </c>
      <c r="F225" s="1" t="s">
        <v>39</v>
      </c>
      <c r="G225" s="2">
        <v>-63</v>
      </c>
      <c r="H225" s="2">
        <v>5522831.6399999997</v>
      </c>
      <c r="I225" s="1" t="s">
        <v>40</v>
      </c>
      <c r="J225" s="1" t="s">
        <v>41</v>
      </c>
      <c r="K225" s="1" t="s">
        <v>42</v>
      </c>
      <c r="L225" s="1" t="s">
        <v>39</v>
      </c>
      <c r="M225" s="1" t="s">
        <v>39</v>
      </c>
      <c r="N225" s="1" t="s">
        <v>43</v>
      </c>
    </row>
    <row r="226" spans="1:14" x14ac:dyDescent="0.25">
      <c r="A226" s="1" t="s">
        <v>891</v>
      </c>
      <c r="B226" s="1" t="s">
        <v>892</v>
      </c>
      <c r="C226" s="1" t="s">
        <v>892</v>
      </c>
      <c r="D226" s="1" t="s">
        <v>37</v>
      </c>
      <c r="E226" s="1" t="s">
        <v>38</v>
      </c>
      <c r="F226" s="1" t="s">
        <v>39</v>
      </c>
      <c r="G226" s="2">
        <v>-18</v>
      </c>
      <c r="H226" s="2">
        <v>5534894.6399999997</v>
      </c>
      <c r="I226" s="1" t="s">
        <v>40</v>
      </c>
      <c r="J226" s="1" t="s">
        <v>41</v>
      </c>
      <c r="K226" s="1" t="s">
        <v>42</v>
      </c>
      <c r="L226" s="1" t="s">
        <v>39</v>
      </c>
      <c r="M226" s="1" t="s">
        <v>39</v>
      </c>
      <c r="N226" s="1" t="s">
        <v>43</v>
      </c>
    </row>
    <row r="227" spans="1:14" x14ac:dyDescent="0.25">
      <c r="A227" s="1" t="s">
        <v>895</v>
      </c>
      <c r="B227" s="1" t="s">
        <v>896</v>
      </c>
      <c r="C227" s="1" t="s">
        <v>896</v>
      </c>
      <c r="D227" s="1" t="s">
        <v>48</v>
      </c>
      <c r="E227" s="1" t="s">
        <v>38</v>
      </c>
      <c r="F227" s="1" t="s">
        <v>39</v>
      </c>
      <c r="G227" s="2">
        <v>-63</v>
      </c>
      <c r="H227" s="2">
        <v>5536412.6399999997</v>
      </c>
      <c r="I227" s="1" t="s">
        <v>40</v>
      </c>
      <c r="J227" s="1" t="s">
        <v>49</v>
      </c>
      <c r="K227" s="1" t="s">
        <v>42</v>
      </c>
      <c r="L227" s="1" t="s">
        <v>39</v>
      </c>
      <c r="M227" s="1" t="s">
        <v>39</v>
      </c>
      <c r="N227" s="1" t="s">
        <v>43</v>
      </c>
    </row>
    <row r="228" spans="1:14" x14ac:dyDescent="0.25">
      <c r="A228" s="1" t="s">
        <v>899</v>
      </c>
      <c r="B228" s="1" t="s">
        <v>900</v>
      </c>
      <c r="C228" s="1" t="s">
        <v>900</v>
      </c>
      <c r="D228" s="1" t="s">
        <v>37</v>
      </c>
      <c r="E228" s="1" t="s">
        <v>38</v>
      </c>
      <c r="F228" s="1" t="s">
        <v>39</v>
      </c>
      <c r="G228" s="2">
        <v>-13</v>
      </c>
      <c r="H228" s="2">
        <v>5547975.6399999997</v>
      </c>
      <c r="I228" s="1" t="s">
        <v>40</v>
      </c>
      <c r="J228" s="1" t="s">
        <v>41</v>
      </c>
      <c r="K228" s="1" t="s">
        <v>42</v>
      </c>
      <c r="L228" s="1" t="s">
        <v>39</v>
      </c>
      <c r="M228" s="1" t="s">
        <v>39</v>
      </c>
      <c r="N228" s="1" t="s">
        <v>43</v>
      </c>
    </row>
    <row r="229" spans="1:14" x14ac:dyDescent="0.25">
      <c r="A229" s="1" t="s">
        <v>907</v>
      </c>
      <c r="B229" s="1" t="s">
        <v>908</v>
      </c>
      <c r="C229" s="1" t="s">
        <v>908</v>
      </c>
      <c r="D229" s="1" t="s">
        <v>37</v>
      </c>
      <c r="E229" s="1" t="s">
        <v>38</v>
      </c>
      <c r="F229" s="1" t="s">
        <v>39</v>
      </c>
      <c r="G229" s="2">
        <v>-48</v>
      </c>
      <c r="H229" s="2">
        <v>5848588.6399999997</v>
      </c>
      <c r="I229" s="1" t="s">
        <v>40</v>
      </c>
      <c r="J229" s="1" t="s">
        <v>41</v>
      </c>
      <c r="K229" s="1" t="s">
        <v>42</v>
      </c>
      <c r="L229" s="1" t="s">
        <v>39</v>
      </c>
      <c r="M229" s="1" t="s">
        <v>39</v>
      </c>
      <c r="N229" s="1" t="s">
        <v>43</v>
      </c>
    </row>
    <row r="230" spans="1:14" x14ac:dyDescent="0.25">
      <c r="A230" s="1" t="s">
        <v>911</v>
      </c>
      <c r="B230" s="1" t="s">
        <v>912</v>
      </c>
      <c r="C230" s="1" t="s">
        <v>912</v>
      </c>
      <c r="D230" s="1" t="s">
        <v>48</v>
      </c>
      <c r="E230" s="1" t="s">
        <v>38</v>
      </c>
      <c r="F230" s="1" t="s">
        <v>39</v>
      </c>
      <c r="G230" s="2">
        <v>-8</v>
      </c>
      <c r="H230" s="2">
        <v>5854636.6399999997</v>
      </c>
      <c r="I230" s="1" t="s">
        <v>40</v>
      </c>
      <c r="J230" s="1" t="s">
        <v>49</v>
      </c>
      <c r="K230" s="1" t="s">
        <v>42</v>
      </c>
      <c r="L230" s="1" t="s">
        <v>39</v>
      </c>
      <c r="M230" s="1" t="s">
        <v>39</v>
      </c>
      <c r="N230" s="1" t="s">
        <v>43</v>
      </c>
    </row>
    <row r="231" spans="1:14" x14ac:dyDescent="0.25">
      <c r="A231" s="1" t="s">
        <v>916</v>
      </c>
      <c r="B231" s="1" t="s">
        <v>917</v>
      </c>
      <c r="C231" s="1" t="s">
        <v>917</v>
      </c>
      <c r="D231" s="1" t="s">
        <v>37</v>
      </c>
      <c r="E231" s="1" t="s">
        <v>38</v>
      </c>
      <c r="F231" s="1" t="s">
        <v>39</v>
      </c>
      <c r="G231" s="2">
        <v>-18</v>
      </c>
      <c r="H231" s="2">
        <v>5855144.6399999997</v>
      </c>
      <c r="I231" s="1" t="s">
        <v>40</v>
      </c>
      <c r="J231" s="1" t="s">
        <v>41</v>
      </c>
      <c r="K231" s="1" t="s">
        <v>42</v>
      </c>
      <c r="L231" s="1" t="s">
        <v>39</v>
      </c>
      <c r="M231" s="1" t="s">
        <v>39</v>
      </c>
      <c r="N231" s="1" t="s">
        <v>43</v>
      </c>
    </row>
    <row r="232" spans="1:14" x14ac:dyDescent="0.25">
      <c r="A232" s="1" t="s">
        <v>918</v>
      </c>
      <c r="B232" s="1" t="s">
        <v>919</v>
      </c>
      <c r="C232" s="1" t="s">
        <v>920</v>
      </c>
      <c r="D232" s="1" t="s">
        <v>48</v>
      </c>
      <c r="E232" s="1" t="s">
        <v>38</v>
      </c>
      <c r="F232" s="1" t="s">
        <v>39</v>
      </c>
      <c r="G232" s="2">
        <v>-18</v>
      </c>
      <c r="H232" s="2">
        <v>5857832.6399999997</v>
      </c>
      <c r="I232" s="1" t="s">
        <v>40</v>
      </c>
      <c r="J232" s="1" t="s">
        <v>49</v>
      </c>
      <c r="K232" s="1" t="s">
        <v>42</v>
      </c>
      <c r="L232" s="1" t="s">
        <v>39</v>
      </c>
      <c r="M232" s="1" t="s">
        <v>39</v>
      </c>
      <c r="N232" s="1" t="s">
        <v>43</v>
      </c>
    </row>
    <row r="233" spans="1:14" x14ac:dyDescent="0.25">
      <c r="A233" s="1" t="s">
        <v>923</v>
      </c>
      <c r="B233" s="1" t="s">
        <v>924</v>
      </c>
      <c r="C233" s="1" t="s">
        <v>924</v>
      </c>
      <c r="D233" s="1" t="s">
        <v>37</v>
      </c>
      <c r="E233" s="1" t="s">
        <v>38</v>
      </c>
      <c r="F233" s="1" t="s">
        <v>39</v>
      </c>
      <c r="G233" s="2">
        <v>-54</v>
      </c>
      <c r="H233" s="2">
        <v>5857850.6399999997</v>
      </c>
      <c r="I233" s="1" t="s">
        <v>40</v>
      </c>
      <c r="J233" s="1" t="s">
        <v>41</v>
      </c>
      <c r="K233" s="1" t="s">
        <v>42</v>
      </c>
      <c r="L233" s="1" t="s">
        <v>39</v>
      </c>
      <c r="M233" s="1" t="s">
        <v>39</v>
      </c>
      <c r="N233" s="1" t="s">
        <v>43</v>
      </c>
    </row>
    <row r="234" spans="1:14" x14ac:dyDescent="0.25">
      <c r="A234" s="1" t="s">
        <v>927</v>
      </c>
      <c r="B234" s="1" t="s">
        <v>928</v>
      </c>
      <c r="C234" s="1" t="s">
        <v>928</v>
      </c>
      <c r="D234" s="1" t="s">
        <v>48</v>
      </c>
      <c r="E234" s="1" t="s">
        <v>38</v>
      </c>
      <c r="F234" s="1" t="s">
        <v>39</v>
      </c>
      <c r="G234" s="2">
        <v>-48</v>
      </c>
      <c r="H234" s="2">
        <v>5867904.6399999997</v>
      </c>
      <c r="I234" s="1" t="s">
        <v>40</v>
      </c>
      <c r="J234" s="1" t="s">
        <v>49</v>
      </c>
      <c r="K234" s="1" t="s">
        <v>42</v>
      </c>
      <c r="L234" s="1" t="s">
        <v>39</v>
      </c>
      <c r="M234" s="1" t="s">
        <v>39</v>
      </c>
      <c r="N234" s="1" t="s">
        <v>43</v>
      </c>
    </row>
    <row r="235" spans="1:14" x14ac:dyDescent="0.25">
      <c r="A235" s="1" t="s">
        <v>932</v>
      </c>
      <c r="B235" s="1" t="s">
        <v>933</v>
      </c>
      <c r="C235" s="1" t="s">
        <v>934</v>
      </c>
      <c r="D235" s="1" t="s">
        <v>48</v>
      </c>
      <c r="E235" s="1" t="s">
        <v>38</v>
      </c>
      <c r="F235" s="1" t="s">
        <v>39</v>
      </c>
      <c r="G235" s="2">
        <v>-115</v>
      </c>
      <c r="H235" s="2">
        <v>5961452.6399999997</v>
      </c>
      <c r="I235" s="1" t="s">
        <v>40</v>
      </c>
      <c r="J235" s="1" t="s">
        <v>49</v>
      </c>
      <c r="K235" s="1" t="s">
        <v>42</v>
      </c>
      <c r="L235" s="1" t="s">
        <v>39</v>
      </c>
      <c r="M235" s="1" t="s">
        <v>39</v>
      </c>
      <c r="N235" s="1" t="s">
        <v>43</v>
      </c>
    </row>
    <row r="236" spans="1:14" x14ac:dyDescent="0.25">
      <c r="A236" s="1" t="s">
        <v>938</v>
      </c>
      <c r="B236" s="1" t="s">
        <v>939</v>
      </c>
      <c r="C236" s="1" t="s">
        <v>939</v>
      </c>
      <c r="D236" s="1" t="s">
        <v>37</v>
      </c>
      <c r="E236" s="1" t="s">
        <v>38</v>
      </c>
      <c r="F236" s="1" t="s">
        <v>39</v>
      </c>
      <c r="G236" s="2">
        <v>-3</v>
      </c>
      <c r="H236" s="2">
        <v>5961567.6399999997</v>
      </c>
      <c r="I236" s="1" t="s">
        <v>40</v>
      </c>
      <c r="J236" s="1" t="s">
        <v>41</v>
      </c>
      <c r="K236" s="1" t="s">
        <v>42</v>
      </c>
      <c r="L236" s="1" t="s">
        <v>39</v>
      </c>
      <c r="M236" s="1" t="s">
        <v>39</v>
      </c>
      <c r="N236" s="1" t="s">
        <v>43</v>
      </c>
    </row>
    <row r="237" spans="1:14" x14ac:dyDescent="0.25">
      <c r="A237" s="1" t="s">
        <v>942</v>
      </c>
      <c r="B237" s="1" t="s">
        <v>943</v>
      </c>
      <c r="C237" s="1" t="s">
        <v>943</v>
      </c>
      <c r="D237" s="1" t="s">
        <v>37</v>
      </c>
      <c r="E237" s="1" t="s">
        <v>38</v>
      </c>
      <c r="F237" s="1" t="s">
        <v>39</v>
      </c>
      <c r="G237" s="2">
        <v>-39</v>
      </c>
      <c r="H237" s="2">
        <v>5961670.6399999997</v>
      </c>
      <c r="I237" s="1" t="s">
        <v>40</v>
      </c>
      <c r="J237" s="1" t="s">
        <v>41</v>
      </c>
      <c r="K237" s="1" t="s">
        <v>42</v>
      </c>
      <c r="L237" s="1" t="s">
        <v>39</v>
      </c>
      <c r="M237" s="1" t="s">
        <v>39</v>
      </c>
      <c r="N237" s="1" t="s">
        <v>43</v>
      </c>
    </row>
    <row r="238" spans="1:14" x14ac:dyDescent="0.25">
      <c r="A238" s="1" t="s">
        <v>944</v>
      </c>
      <c r="B238" s="1" t="s">
        <v>945</v>
      </c>
      <c r="C238" s="1" t="s">
        <v>945</v>
      </c>
      <c r="D238" s="1" t="s">
        <v>48</v>
      </c>
      <c r="E238" s="1" t="s">
        <v>38</v>
      </c>
      <c r="F238" s="1" t="s">
        <v>39</v>
      </c>
      <c r="G238" s="2">
        <v>-13</v>
      </c>
      <c r="H238" s="2">
        <v>5965609.6399999997</v>
      </c>
      <c r="I238" s="1" t="s">
        <v>40</v>
      </c>
      <c r="J238" s="1" t="s">
        <v>49</v>
      </c>
      <c r="K238" s="1" t="s">
        <v>42</v>
      </c>
      <c r="L238" s="1" t="s">
        <v>39</v>
      </c>
      <c r="M238" s="1" t="s">
        <v>39</v>
      </c>
      <c r="N238" s="1" t="s">
        <v>43</v>
      </c>
    </row>
    <row r="239" spans="1:14" x14ac:dyDescent="0.25">
      <c r="A239" s="1" t="s">
        <v>949</v>
      </c>
      <c r="B239" s="1" t="s">
        <v>950</v>
      </c>
      <c r="C239" s="1" t="s">
        <v>950</v>
      </c>
      <c r="D239" s="1" t="s">
        <v>37</v>
      </c>
      <c r="E239" s="1" t="s">
        <v>38</v>
      </c>
      <c r="F239" s="1" t="s">
        <v>39</v>
      </c>
      <c r="G239" s="2">
        <v>-25</v>
      </c>
      <c r="H239" s="2">
        <v>5966622.6399999997</v>
      </c>
      <c r="I239" s="1" t="s">
        <v>40</v>
      </c>
      <c r="J239" s="1" t="s">
        <v>41</v>
      </c>
      <c r="K239" s="1" t="s">
        <v>42</v>
      </c>
      <c r="L239" s="1" t="s">
        <v>39</v>
      </c>
      <c r="M239" s="1" t="s">
        <v>39</v>
      </c>
      <c r="N239" s="1" t="s">
        <v>43</v>
      </c>
    </row>
    <row r="240" spans="1:14" x14ac:dyDescent="0.25">
      <c r="A240" s="1" t="s">
        <v>953</v>
      </c>
      <c r="B240" s="1" t="s">
        <v>954</v>
      </c>
      <c r="C240" s="1" t="s">
        <v>955</v>
      </c>
      <c r="D240" s="1" t="s">
        <v>48</v>
      </c>
      <c r="E240" s="1" t="s">
        <v>38</v>
      </c>
      <c r="F240" s="1" t="s">
        <v>39</v>
      </c>
      <c r="G240" s="2">
        <v>-106</v>
      </c>
      <c r="H240" s="2">
        <v>5968823.6399999997</v>
      </c>
      <c r="I240" s="1" t="s">
        <v>40</v>
      </c>
      <c r="J240" s="1" t="s">
        <v>49</v>
      </c>
      <c r="K240" s="1" t="s">
        <v>42</v>
      </c>
      <c r="L240" s="1" t="s">
        <v>39</v>
      </c>
      <c r="M240" s="1" t="s">
        <v>39</v>
      </c>
      <c r="N240" s="1" t="s">
        <v>43</v>
      </c>
    </row>
    <row r="241" spans="1:14" x14ac:dyDescent="0.25">
      <c r="A241" s="1" t="s">
        <v>958</v>
      </c>
      <c r="B241" s="1" t="s">
        <v>959</v>
      </c>
      <c r="C241" s="1" t="s">
        <v>959</v>
      </c>
      <c r="D241" s="1" t="s">
        <v>37</v>
      </c>
      <c r="E241" s="1" t="s">
        <v>38</v>
      </c>
      <c r="F241" s="1" t="s">
        <v>39</v>
      </c>
      <c r="G241" s="2">
        <v>-13</v>
      </c>
      <c r="H241" s="2">
        <v>6007928.6399999997</v>
      </c>
      <c r="I241" s="1" t="s">
        <v>40</v>
      </c>
      <c r="J241" s="1" t="s">
        <v>41</v>
      </c>
      <c r="K241" s="1" t="s">
        <v>42</v>
      </c>
      <c r="L241" s="1" t="s">
        <v>39</v>
      </c>
      <c r="M241" s="1" t="s">
        <v>39</v>
      </c>
      <c r="N241" s="1" t="s">
        <v>43</v>
      </c>
    </row>
    <row r="242" spans="1:14" x14ac:dyDescent="0.25">
      <c r="A242" s="1" t="s">
        <v>962</v>
      </c>
      <c r="B242" s="1" t="s">
        <v>963</v>
      </c>
      <c r="C242" s="1" t="s">
        <v>964</v>
      </c>
      <c r="D242" s="1" t="s">
        <v>37</v>
      </c>
      <c r="E242" s="1" t="s">
        <v>38</v>
      </c>
      <c r="F242" s="1" t="s">
        <v>39</v>
      </c>
      <c r="G242" s="2">
        <v>-3</v>
      </c>
      <c r="H242" s="2">
        <v>6008816.6399999997</v>
      </c>
      <c r="I242" s="1" t="s">
        <v>40</v>
      </c>
      <c r="J242" s="1" t="s">
        <v>41</v>
      </c>
      <c r="K242" s="1" t="s">
        <v>42</v>
      </c>
      <c r="L242" s="1" t="s">
        <v>39</v>
      </c>
      <c r="M242" s="1" t="s">
        <v>39</v>
      </c>
      <c r="N242" s="1" t="s">
        <v>43</v>
      </c>
    </row>
    <row r="243" spans="1:14" x14ac:dyDescent="0.25">
      <c r="A243" s="1" t="s">
        <v>967</v>
      </c>
      <c r="B243" s="1" t="s">
        <v>968</v>
      </c>
      <c r="C243" s="1" t="s">
        <v>968</v>
      </c>
      <c r="D243" s="1" t="s">
        <v>48</v>
      </c>
      <c r="E243" s="1" t="s">
        <v>38</v>
      </c>
      <c r="F243" s="1" t="s">
        <v>39</v>
      </c>
      <c r="G243" s="2">
        <v>-8</v>
      </c>
      <c r="H243" s="2">
        <v>6008899.6399999997</v>
      </c>
      <c r="I243" s="1" t="s">
        <v>40</v>
      </c>
      <c r="J243" s="1" t="s">
        <v>49</v>
      </c>
      <c r="K243" s="1" t="s">
        <v>42</v>
      </c>
      <c r="L243" s="1" t="s">
        <v>39</v>
      </c>
      <c r="M243" s="1" t="s">
        <v>39</v>
      </c>
      <c r="N243" s="1" t="s">
        <v>43</v>
      </c>
    </row>
    <row r="244" spans="1:14" x14ac:dyDescent="0.25">
      <c r="A244" s="1" t="s">
        <v>972</v>
      </c>
      <c r="B244" s="1" t="s">
        <v>973</v>
      </c>
      <c r="C244" s="1" t="s">
        <v>973</v>
      </c>
      <c r="D244" s="1" t="s">
        <v>37</v>
      </c>
      <c r="E244" s="1" t="s">
        <v>38</v>
      </c>
      <c r="F244" s="1" t="s">
        <v>39</v>
      </c>
      <c r="G244" s="2">
        <v>-68</v>
      </c>
      <c r="H244" s="2">
        <v>6009357.6399999997</v>
      </c>
      <c r="I244" s="1" t="s">
        <v>40</v>
      </c>
      <c r="J244" s="1" t="s">
        <v>41</v>
      </c>
      <c r="K244" s="1" t="s">
        <v>42</v>
      </c>
      <c r="L244" s="1" t="s">
        <v>39</v>
      </c>
      <c r="M244" s="1" t="s">
        <v>39</v>
      </c>
      <c r="N244" s="1" t="s">
        <v>43</v>
      </c>
    </row>
    <row r="245" spans="1:14" x14ac:dyDescent="0.25">
      <c r="A245" s="1" t="s">
        <v>976</v>
      </c>
      <c r="B245" s="1" t="s">
        <v>977</v>
      </c>
      <c r="C245" s="1" t="s">
        <v>977</v>
      </c>
      <c r="D245" s="1" t="s">
        <v>37</v>
      </c>
      <c r="E245" s="1" t="s">
        <v>38</v>
      </c>
      <c r="F245" s="1" t="s">
        <v>39</v>
      </c>
      <c r="G245" s="2">
        <v>-3</v>
      </c>
      <c r="H245" s="2">
        <v>6027113.6399999997</v>
      </c>
      <c r="I245" s="1" t="s">
        <v>40</v>
      </c>
      <c r="J245" s="1" t="s">
        <v>41</v>
      </c>
      <c r="K245" s="1" t="s">
        <v>42</v>
      </c>
      <c r="L245" s="1" t="s">
        <v>39</v>
      </c>
      <c r="M245" s="1" t="s">
        <v>39</v>
      </c>
      <c r="N245" s="1" t="s">
        <v>43</v>
      </c>
    </row>
    <row r="246" spans="1:14" x14ac:dyDescent="0.25">
      <c r="A246" s="1" t="s">
        <v>980</v>
      </c>
      <c r="B246" s="1" t="s">
        <v>981</v>
      </c>
      <c r="C246" s="1" t="s">
        <v>982</v>
      </c>
      <c r="D246" s="1" t="s">
        <v>48</v>
      </c>
      <c r="E246" s="1" t="s">
        <v>38</v>
      </c>
      <c r="F246" s="1" t="s">
        <v>39</v>
      </c>
      <c r="G246" s="2">
        <v>-39</v>
      </c>
      <c r="H246" s="2">
        <v>6031181.6399999997</v>
      </c>
      <c r="I246" s="1" t="s">
        <v>40</v>
      </c>
      <c r="J246" s="1" t="s">
        <v>49</v>
      </c>
      <c r="K246" s="1" t="s">
        <v>42</v>
      </c>
      <c r="L246" s="1" t="s">
        <v>39</v>
      </c>
      <c r="M246" s="1" t="s">
        <v>39</v>
      </c>
      <c r="N246" s="1" t="s">
        <v>43</v>
      </c>
    </row>
    <row r="247" spans="1:14" x14ac:dyDescent="0.25">
      <c r="A247" s="1" t="s">
        <v>985</v>
      </c>
      <c r="B247" s="1" t="s">
        <v>986</v>
      </c>
      <c r="C247" s="1" t="s">
        <v>986</v>
      </c>
      <c r="D247" s="1" t="s">
        <v>37</v>
      </c>
      <c r="E247" s="1" t="s">
        <v>38</v>
      </c>
      <c r="F247" s="1" t="s">
        <v>39</v>
      </c>
      <c r="G247" s="2">
        <v>-25</v>
      </c>
      <c r="H247" s="2">
        <v>6031220.6399999997</v>
      </c>
      <c r="I247" s="1" t="s">
        <v>40</v>
      </c>
      <c r="J247" s="1" t="s">
        <v>41</v>
      </c>
      <c r="K247" s="1" t="s">
        <v>42</v>
      </c>
      <c r="L247" s="1" t="s">
        <v>39</v>
      </c>
      <c r="M247" s="1" t="s">
        <v>39</v>
      </c>
      <c r="N247" s="1" t="s">
        <v>43</v>
      </c>
    </row>
    <row r="248" spans="1:14" x14ac:dyDescent="0.25">
      <c r="A248" s="1" t="s">
        <v>1002</v>
      </c>
      <c r="B248" s="1" t="s">
        <v>1003</v>
      </c>
      <c r="C248" s="1" t="s">
        <v>1003</v>
      </c>
      <c r="D248" s="1" t="s">
        <v>37</v>
      </c>
      <c r="E248" s="1" t="s">
        <v>38</v>
      </c>
      <c r="F248" s="1" t="s">
        <v>39</v>
      </c>
      <c r="G248" s="2">
        <v>-48</v>
      </c>
      <c r="H248" s="2">
        <v>28000582.390000001</v>
      </c>
      <c r="I248" s="1" t="s">
        <v>40</v>
      </c>
      <c r="J248" s="1" t="s">
        <v>41</v>
      </c>
      <c r="K248" s="1" t="s">
        <v>42</v>
      </c>
      <c r="L248" s="1" t="s">
        <v>39</v>
      </c>
      <c r="M248" s="1" t="s">
        <v>39</v>
      </c>
      <c r="N248" s="1" t="s">
        <v>43</v>
      </c>
    </row>
    <row r="249" spans="1:14" x14ac:dyDescent="0.25">
      <c r="A249" s="1" t="s">
        <v>1006</v>
      </c>
      <c r="B249" s="1" t="s">
        <v>1007</v>
      </c>
      <c r="C249" s="1" t="s">
        <v>1007</v>
      </c>
      <c r="D249" s="1" t="s">
        <v>37</v>
      </c>
      <c r="E249" s="1" t="s">
        <v>38</v>
      </c>
      <c r="F249" s="1" t="s">
        <v>39</v>
      </c>
      <c r="G249" s="2">
        <v>-68</v>
      </c>
      <c r="H249" s="2">
        <v>28006550.390000001</v>
      </c>
      <c r="I249" s="1" t="s">
        <v>40</v>
      </c>
      <c r="J249" s="1" t="s">
        <v>41</v>
      </c>
      <c r="K249" s="1" t="s">
        <v>42</v>
      </c>
      <c r="L249" s="1" t="s">
        <v>39</v>
      </c>
      <c r="M249" s="1" t="s">
        <v>39</v>
      </c>
      <c r="N249" s="1" t="s">
        <v>43</v>
      </c>
    </row>
    <row r="250" spans="1:14" x14ac:dyDescent="0.25">
      <c r="A250" s="1" t="s">
        <v>1010</v>
      </c>
      <c r="B250" s="1" t="s">
        <v>1011</v>
      </c>
      <c r="C250" s="1" t="s">
        <v>1011</v>
      </c>
      <c r="D250" s="1" t="s">
        <v>48</v>
      </c>
      <c r="E250" s="1" t="s">
        <v>38</v>
      </c>
      <c r="F250" s="1" t="s">
        <v>39</v>
      </c>
      <c r="G250" s="2">
        <v>-30</v>
      </c>
      <c r="H250" s="2">
        <v>28021918.390000001</v>
      </c>
      <c r="I250" s="1" t="s">
        <v>40</v>
      </c>
      <c r="J250" s="1" t="s">
        <v>49</v>
      </c>
      <c r="K250" s="1" t="s">
        <v>42</v>
      </c>
      <c r="L250" s="1" t="s">
        <v>39</v>
      </c>
      <c r="M250" s="1" t="s">
        <v>39</v>
      </c>
      <c r="N250" s="1" t="s">
        <v>43</v>
      </c>
    </row>
    <row r="251" spans="1:14" x14ac:dyDescent="0.25">
      <c r="A251" s="1" t="s">
        <v>1015</v>
      </c>
      <c r="B251" s="1" t="s">
        <v>1011</v>
      </c>
      <c r="C251" s="1" t="s">
        <v>1011</v>
      </c>
      <c r="D251" s="1" t="s">
        <v>48</v>
      </c>
      <c r="E251" s="1" t="s">
        <v>38</v>
      </c>
      <c r="F251" s="1" t="s">
        <v>39</v>
      </c>
      <c r="G251" s="2">
        <v>-68</v>
      </c>
      <c r="H251" s="2">
        <v>28024711.390000001</v>
      </c>
      <c r="I251" s="1" t="s">
        <v>40</v>
      </c>
      <c r="J251" s="1" t="s">
        <v>49</v>
      </c>
      <c r="K251" s="1" t="s">
        <v>42</v>
      </c>
      <c r="L251" s="1" t="s">
        <v>39</v>
      </c>
      <c r="M251" s="1" t="s">
        <v>39</v>
      </c>
      <c r="N251" s="1" t="s">
        <v>43</v>
      </c>
    </row>
    <row r="252" spans="1:14" x14ac:dyDescent="0.25">
      <c r="A252" s="1" t="s">
        <v>1018</v>
      </c>
      <c r="B252" s="1" t="s">
        <v>1019</v>
      </c>
      <c r="C252" s="1" t="s">
        <v>1019</v>
      </c>
      <c r="D252" s="1" t="s">
        <v>48</v>
      </c>
      <c r="E252" s="1" t="s">
        <v>38</v>
      </c>
      <c r="F252" s="1" t="s">
        <v>39</v>
      </c>
      <c r="G252" s="2">
        <v>-39</v>
      </c>
      <c r="H252" s="2">
        <v>28040111.390000001</v>
      </c>
      <c r="I252" s="1" t="s">
        <v>40</v>
      </c>
      <c r="J252" s="1" t="s">
        <v>49</v>
      </c>
      <c r="K252" s="1" t="s">
        <v>42</v>
      </c>
      <c r="L252" s="1" t="s">
        <v>39</v>
      </c>
      <c r="M252" s="1" t="s">
        <v>39</v>
      </c>
      <c r="N252" s="1" t="s">
        <v>43</v>
      </c>
    </row>
    <row r="253" spans="1:14" x14ac:dyDescent="0.25">
      <c r="A253" s="1" t="s">
        <v>1022</v>
      </c>
      <c r="B253" s="1" t="s">
        <v>1019</v>
      </c>
      <c r="C253" s="1" t="s">
        <v>1019</v>
      </c>
      <c r="D253" s="1" t="s">
        <v>48</v>
      </c>
      <c r="E253" s="1" t="s">
        <v>38</v>
      </c>
      <c r="F253" s="1" t="s">
        <v>39</v>
      </c>
      <c r="G253" s="2">
        <v>-39</v>
      </c>
      <c r="H253" s="2">
        <v>28044369.390000001</v>
      </c>
      <c r="I253" s="1" t="s">
        <v>40</v>
      </c>
      <c r="J253" s="1" t="s">
        <v>49</v>
      </c>
      <c r="K253" s="1" t="s">
        <v>42</v>
      </c>
      <c r="L253" s="1" t="s">
        <v>39</v>
      </c>
      <c r="M253" s="1" t="s">
        <v>39</v>
      </c>
      <c r="N253" s="1" t="s">
        <v>43</v>
      </c>
    </row>
    <row r="254" spans="1:14" x14ac:dyDescent="0.25">
      <c r="A254" s="1" t="s">
        <v>1025</v>
      </c>
      <c r="B254" s="1" t="s">
        <v>1019</v>
      </c>
      <c r="C254" s="1" t="s">
        <v>1019</v>
      </c>
      <c r="D254" s="1" t="s">
        <v>48</v>
      </c>
      <c r="E254" s="1" t="s">
        <v>38</v>
      </c>
      <c r="F254" s="1" t="s">
        <v>39</v>
      </c>
      <c r="G254" s="2">
        <v>-8</v>
      </c>
      <c r="H254" s="2">
        <v>28048170.390000001</v>
      </c>
      <c r="I254" s="1" t="s">
        <v>40</v>
      </c>
      <c r="J254" s="1" t="s">
        <v>49</v>
      </c>
      <c r="K254" s="1" t="s">
        <v>42</v>
      </c>
      <c r="L254" s="1" t="s">
        <v>39</v>
      </c>
      <c r="M254" s="1" t="s">
        <v>39</v>
      </c>
      <c r="N254" s="1" t="s">
        <v>43</v>
      </c>
    </row>
    <row r="255" spans="1:14" x14ac:dyDescent="0.25">
      <c r="A255" s="1" t="s">
        <v>1028</v>
      </c>
      <c r="B255" s="1" t="s">
        <v>1019</v>
      </c>
      <c r="C255" s="1" t="s">
        <v>1029</v>
      </c>
      <c r="D255" s="1" t="s">
        <v>48</v>
      </c>
      <c r="E255" s="1" t="s">
        <v>38</v>
      </c>
      <c r="F255" s="1" t="s">
        <v>39</v>
      </c>
      <c r="G255" s="2">
        <v>-90</v>
      </c>
      <c r="H255" s="2">
        <v>28048550.390000001</v>
      </c>
      <c r="I255" s="1" t="s">
        <v>40</v>
      </c>
      <c r="J255" s="1" t="s">
        <v>49</v>
      </c>
      <c r="K255" s="1" t="s">
        <v>42</v>
      </c>
      <c r="L255" s="1" t="s">
        <v>39</v>
      </c>
      <c r="M255" s="1" t="s">
        <v>39</v>
      </c>
      <c r="N255" s="1" t="s">
        <v>43</v>
      </c>
    </row>
    <row r="256" spans="1:14" x14ac:dyDescent="0.25">
      <c r="A256" s="1" t="s">
        <v>1032</v>
      </c>
      <c r="B256" s="1" t="s">
        <v>1029</v>
      </c>
      <c r="C256" s="1" t="s">
        <v>1033</v>
      </c>
      <c r="D256" s="1" t="s">
        <v>48</v>
      </c>
      <c r="E256" s="1" t="s">
        <v>38</v>
      </c>
      <c r="F256" s="1" t="s">
        <v>39</v>
      </c>
      <c r="G256" s="2">
        <v>-48</v>
      </c>
      <c r="H256" s="2">
        <v>28087805.390000001</v>
      </c>
      <c r="I256" s="1" t="s">
        <v>40</v>
      </c>
      <c r="J256" s="1" t="s">
        <v>49</v>
      </c>
      <c r="K256" s="1" t="s">
        <v>42</v>
      </c>
      <c r="L256" s="1" t="s">
        <v>39</v>
      </c>
      <c r="M256" s="1" t="s">
        <v>39</v>
      </c>
      <c r="N256" s="1" t="s">
        <v>43</v>
      </c>
    </row>
    <row r="257" spans="1:14" x14ac:dyDescent="0.25">
      <c r="A257" s="1" t="s">
        <v>1037</v>
      </c>
      <c r="B257" s="1" t="s">
        <v>1029</v>
      </c>
      <c r="C257" s="1" t="s">
        <v>1029</v>
      </c>
      <c r="D257" s="1" t="s">
        <v>48</v>
      </c>
      <c r="E257" s="1" t="s">
        <v>38</v>
      </c>
      <c r="F257" s="1" t="s">
        <v>39</v>
      </c>
      <c r="G257" s="2">
        <v>-30</v>
      </c>
      <c r="H257" s="2">
        <v>28087853.390000001</v>
      </c>
      <c r="I257" s="1" t="s">
        <v>40</v>
      </c>
      <c r="J257" s="1" t="s">
        <v>49</v>
      </c>
      <c r="K257" s="1" t="s">
        <v>42</v>
      </c>
      <c r="L257" s="1" t="s">
        <v>39</v>
      </c>
      <c r="M257" s="1" t="s">
        <v>39</v>
      </c>
      <c r="N257" s="1" t="s">
        <v>43</v>
      </c>
    </row>
    <row r="258" spans="1:14" x14ac:dyDescent="0.25">
      <c r="A258" s="1" t="s">
        <v>1040</v>
      </c>
      <c r="B258" s="1" t="s">
        <v>1033</v>
      </c>
      <c r="C258" s="1" t="s">
        <v>1033</v>
      </c>
      <c r="D258" s="1" t="s">
        <v>48</v>
      </c>
      <c r="E258" s="1" t="s">
        <v>38</v>
      </c>
      <c r="F258" s="1" t="s">
        <v>39</v>
      </c>
      <c r="G258" s="2">
        <v>-68</v>
      </c>
      <c r="H258" s="2">
        <v>28091171.390000001</v>
      </c>
      <c r="I258" s="1" t="s">
        <v>40</v>
      </c>
      <c r="J258" s="1" t="s">
        <v>49</v>
      </c>
      <c r="K258" s="1" t="s">
        <v>42</v>
      </c>
      <c r="L258" s="1" t="s">
        <v>39</v>
      </c>
      <c r="M258" s="1" t="s">
        <v>39</v>
      </c>
      <c r="N258" s="1" t="s">
        <v>43</v>
      </c>
    </row>
    <row r="259" spans="1:14" x14ac:dyDescent="0.25">
      <c r="A259" s="1" t="s">
        <v>1043</v>
      </c>
      <c r="B259" s="1" t="s">
        <v>1033</v>
      </c>
      <c r="C259" s="1" t="s">
        <v>1033</v>
      </c>
      <c r="D259" s="1" t="s">
        <v>48</v>
      </c>
      <c r="E259" s="1" t="s">
        <v>38</v>
      </c>
      <c r="F259" s="1" t="s">
        <v>39</v>
      </c>
      <c r="G259" s="2">
        <v>-18</v>
      </c>
      <c r="H259" s="2">
        <v>28106478.390000001</v>
      </c>
      <c r="I259" s="1" t="s">
        <v>40</v>
      </c>
      <c r="J259" s="1" t="s">
        <v>49</v>
      </c>
      <c r="K259" s="1" t="s">
        <v>42</v>
      </c>
      <c r="L259" s="1" t="s">
        <v>39</v>
      </c>
      <c r="M259" s="1" t="s">
        <v>39</v>
      </c>
      <c r="N259" s="1" t="s">
        <v>43</v>
      </c>
    </row>
    <row r="260" spans="1:14" x14ac:dyDescent="0.25">
      <c r="A260" s="1" t="s">
        <v>1046</v>
      </c>
      <c r="B260" s="1" t="s">
        <v>1047</v>
      </c>
      <c r="C260" s="1" t="s">
        <v>1047</v>
      </c>
      <c r="D260" s="1" t="s">
        <v>48</v>
      </c>
      <c r="E260" s="1" t="s">
        <v>38</v>
      </c>
      <c r="F260" s="1" t="s">
        <v>39</v>
      </c>
      <c r="G260" s="2">
        <v>-48</v>
      </c>
      <c r="H260" s="2">
        <v>28107996.390000001</v>
      </c>
      <c r="I260" s="1" t="s">
        <v>40</v>
      </c>
      <c r="J260" s="1" t="s">
        <v>49</v>
      </c>
      <c r="K260" s="1" t="s">
        <v>42</v>
      </c>
      <c r="L260" s="1" t="s">
        <v>39</v>
      </c>
      <c r="M260" s="1" t="s">
        <v>39</v>
      </c>
      <c r="N260" s="1" t="s">
        <v>43</v>
      </c>
    </row>
    <row r="261" spans="1:14" x14ac:dyDescent="0.25">
      <c r="A261" s="1" t="s">
        <v>1050</v>
      </c>
      <c r="B261" s="1" t="s">
        <v>1047</v>
      </c>
      <c r="C261" s="1" t="s">
        <v>1047</v>
      </c>
      <c r="D261" s="1" t="s">
        <v>48</v>
      </c>
      <c r="E261" s="1" t="s">
        <v>38</v>
      </c>
      <c r="F261" s="1" t="s">
        <v>39</v>
      </c>
      <c r="G261" s="2">
        <v>-54</v>
      </c>
      <c r="H261" s="2">
        <v>28115120.390000001</v>
      </c>
      <c r="I261" s="1" t="s">
        <v>40</v>
      </c>
      <c r="J261" s="1" t="s">
        <v>49</v>
      </c>
      <c r="K261" s="1" t="s">
        <v>42</v>
      </c>
      <c r="L261" s="1" t="s">
        <v>39</v>
      </c>
      <c r="M261" s="1" t="s">
        <v>39</v>
      </c>
      <c r="N261" s="1" t="s">
        <v>43</v>
      </c>
    </row>
    <row r="262" spans="1:14" x14ac:dyDescent="0.25">
      <c r="A262" s="1" t="s">
        <v>1053</v>
      </c>
      <c r="B262" s="1" t="s">
        <v>1047</v>
      </c>
      <c r="C262" s="1" t="s">
        <v>1047</v>
      </c>
      <c r="D262" s="1" t="s">
        <v>48</v>
      </c>
      <c r="E262" s="1" t="s">
        <v>38</v>
      </c>
      <c r="F262" s="1" t="s">
        <v>39</v>
      </c>
      <c r="G262" s="2">
        <v>-48</v>
      </c>
      <c r="H262" s="2">
        <v>28122677.390000001</v>
      </c>
      <c r="I262" s="1" t="s">
        <v>40</v>
      </c>
      <c r="J262" s="1" t="s">
        <v>49</v>
      </c>
      <c r="K262" s="1" t="s">
        <v>42</v>
      </c>
      <c r="L262" s="1" t="s">
        <v>39</v>
      </c>
      <c r="M262" s="1" t="s">
        <v>39</v>
      </c>
      <c r="N262" s="1" t="s">
        <v>43</v>
      </c>
    </row>
    <row r="263" spans="1:14" x14ac:dyDescent="0.25">
      <c r="A263" s="1" t="s">
        <v>1056</v>
      </c>
      <c r="B263" s="1" t="s">
        <v>1047</v>
      </c>
      <c r="C263" s="1" t="s">
        <v>1047</v>
      </c>
      <c r="D263" s="1" t="s">
        <v>48</v>
      </c>
      <c r="E263" s="1" t="s">
        <v>38</v>
      </c>
      <c r="F263" s="1" t="s">
        <v>39</v>
      </c>
      <c r="G263" s="2">
        <v>-25</v>
      </c>
      <c r="H263" s="2">
        <v>28129509.390000001</v>
      </c>
      <c r="I263" s="1" t="s">
        <v>40</v>
      </c>
      <c r="J263" s="1" t="s">
        <v>49</v>
      </c>
      <c r="K263" s="1" t="s">
        <v>42</v>
      </c>
      <c r="L263" s="1" t="s">
        <v>39</v>
      </c>
      <c r="M263" s="1" t="s">
        <v>39</v>
      </c>
      <c r="N263" s="1" t="s">
        <v>43</v>
      </c>
    </row>
    <row r="264" spans="1:14" x14ac:dyDescent="0.25">
      <c r="A264" s="1" t="s">
        <v>1059</v>
      </c>
      <c r="B264" s="1" t="s">
        <v>1047</v>
      </c>
      <c r="C264" s="1" t="s">
        <v>1060</v>
      </c>
      <c r="D264" s="1" t="s">
        <v>48</v>
      </c>
      <c r="E264" s="1" t="s">
        <v>38</v>
      </c>
      <c r="F264" s="1" t="s">
        <v>39</v>
      </c>
      <c r="G264" s="2">
        <v>-48</v>
      </c>
      <c r="H264" s="2">
        <v>28131299.390000001</v>
      </c>
      <c r="I264" s="1" t="s">
        <v>40</v>
      </c>
      <c r="J264" s="1" t="s">
        <v>49</v>
      </c>
      <c r="K264" s="1" t="s">
        <v>42</v>
      </c>
      <c r="L264" s="1" t="s">
        <v>39</v>
      </c>
      <c r="M264" s="1" t="s">
        <v>39</v>
      </c>
      <c r="N264" s="1" t="s">
        <v>43</v>
      </c>
    </row>
    <row r="265" spans="1:14" x14ac:dyDescent="0.25">
      <c r="A265" s="1" t="s">
        <v>1063</v>
      </c>
      <c r="B265" s="1" t="s">
        <v>1060</v>
      </c>
      <c r="C265" s="1" t="s">
        <v>1060</v>
      </c>
      <c r="D265" s="1" t="s">
        <v>48</v>
      </c>
      <c r="E265" s="1" t="s">
        <v>38</v>
      </c>
      <c r="F265" s="1" t="s">
        <v>39</v>
      </c>
      <c r="G265" s="2">
        <v>-106</v>
      </c>
      <c r="H265" s="2">
        <v>28138755.390000001</v>
      </c>
      <c r="I265" s="1" t="s">
        <v>40</v>
      </c>
      <c r="J265" s="1" t="s">
        <v>49</v>
      </c>
      <c r="K265" s="1" t="s">
        <v>42</v>
      </c>
      <c r="L265" s="1" t="s">
        <v>39</v>
      </c>
      <c r="M265" s="1" t="s">
        <v>39</v>
      </c>
      <c r="N265" s="1" t="s">
        <v>43</v>
      </c>
    </row>
    <row r="266" spans="1:14" x14ac:dyDescent="0.25">
      <c r="A266" s="1" t="s">
        <v>1066</v>
      </c>
      <c r="B266" s="1" t="s">
        <v>1060</v>
      </c>
      <c r="C266" s="1" t="s">
        <v>1060</v>
      </c>
      <c r="D266" s="1" t="s">
        <v>48</v>
      </c>
      <c r="E266" s="1" t="s">
        <v>38</v>
      </c>
      <c r="F266" s="1" t="s">
        <v>39</v>
      </c>
      <c r="G266" s="2">
        <v>-63</v>
      </c>
      <c r="H266" s="2">
        <v>28176551.390000001</v>
      </c>
      <c r="I266" s="1" t="s">
        <v>40</v>
      </c>
      <c r="J266" s="1" t="s">
        <v>49</v>
      </c>
      <c r="K266" s="1" t="s">
        <v>42</v>
      </c>
      <c r="L266" s="1" t="s">
        <v>39</v>
      </c>
      <c r="M266" s="1" t="s">
        <v>39</v>
      </c>
      <c r="N266" s="1" t="s">
        <v>43</v>
      </c>
    </row>
    <row r="267" spans="1:14" x14ac:dyDescent="0.25">
      <c r="A267" s="1" t="s">
        <v>1069</v>
      </c>
      <c r="B267" s="1" t="s">
        <v>1060</v>
      </c>
      <c r="C267" s="1" t="s">
        <v>1060</v>
      </c>
      <c r="D267" s="1" t="s">
        <v>48</v>
      </c>
      <c r="E267" s="1" t="s">
        <v>38</v>
      </c>
      <c r="F267" s="1" t="s">
        <v>39</v>
      </c>
      <c r="G267" s="2">
        <v>-63</v>
      </c>
      <c r="H267" s="2">
        <v>28189615.390000001</v>
      </c>
      <c r="I267" s="1" t="s">
        <v>40</v>
      </c>
      <c r="J267" s="1" t="s">
        <v>49</v>
      </c>
      <c r="K267" s="1" t="s">
        <v>42</v>
      </c>
      <c r="L267" s="1" t="s">
        <v>39</v>
      </c>
      <c r="M267" s="1" t="s">
        <v>39</v>
      </c>
      <c r="N267" s="1" t="s">
        <v>43</v>
      </c>
    </row>
    <row r="268" spans="1:14" x14ac:dyDescent="0.25">
      <c r="A268" s="1" t="s">
        <v>1072</v>
      </c>
      <c r="B268" s="1" t="s">
        <v>1073</v>
      </c>
      <c r="C268" s="1" t="s">
        <v>1073</v>
      </c>
      <c r="D268" s="1" t="s">
        <v>48</v>
      </c>
      <c r="E268" s="1" t="s">
        <v>38</v>
      </c>
      <c r="F268" s="1" t="s">
        <v>39</v>
      </c>
      <c r="G268" s="2">
        <v>-115</v>
      </c>
      <c r="H268" s="2">
        <v>28203605.390000001</v>
      </c>
      <c r="I268" s="1" t="s">
        <v>40</v>
      </c>
      <c r="J268" s="1" t="s">
        <v>49</v>
      </c>
      <c r="K268" s="1" t="s">
        <v>42</v>
      </c>
      <c r="L268" s="1" t="s">
        <v>39</v>
      </c>
      <c r="M268" s="1" t="s">
        <v>39</v>
      </c>
      <c r="N268" s="1" t="s">
        <v>43</v>
      </c>
    </row>
    <row r="269" spans="1:14" x14ac:dyDescent="0.25">
      <c r="A269" s="1" t="s">
        <v>1076</v>
      </c>
      <c r="B269" s="1" t="s">
        <v>1073</v>
      </c>
      <c r="C269" s="1" t="s">
        <v>1073</v>
      </c>
      <c r="D269" s="1" t="s">
        <v>48</v>
      </c>
      <c r="E269" s="1" t="s">
        <v>38</v>
      </c>
      <c r="F269" s="1" t="s">
        <v>39</v>
      </c>
      <c r="G269" s="2">
        <v>-48</v>
      </c>
      <c r="H269" s="2">
        <v>28286110.390000001</v>
      </c>
      <c r="I269" s="1" t="s">
        <v>40</v>
      </c>
      <c r="J269" s="1" t="s">
        <v>49</v>
      </c>
      <c r="K269" s="1" t="s">
        <v>42</v>
      </c>
      <c r="L269" s="1" t="s">
        <v>39</v>
      </c>
      <c r="M269" s="1" t="s">
        <v>39</v>
      </c>
      <c r="N269" s="1" t="s">
        <v>43</v>
      </c>
    </row>
    <row r="270" spans="1:14" x14ac:dyDescent="0.25">
      <c r="A270" s="1" t="s">
        <v>1079</v>
      </c>
      <c r="B270" s="1" t="s">
        <v>1073</v>
      </c>
      <c r="C270" s="1" t="s">
        <v>1080</v>
      </c>
      <c r="D270" s="1" t="s">
        <v>48</v>
      </c>
      <c r="E270" s="1" t="s">
        <v>38</v>
      </c>
      <c r="F270" s="1" t="s">
        <v>39</v>
      </c>
      <c r="G270" s="2">
        <v>-54</v>
      </c>
      <c r="H270" s="2">
        <v>28292448.390000001</v>
      </c>
      <c r="I270" s="1" t="s">
        <v>40</v>
      </c>
      <c r="J270" s="1" t="s">
        <v>49</v>
      </c>
      <c r="K270" s="1" t="s">
        <v>42</v>
      </c>
      <c r="L270" s="1" t="s">
        <v>39</v>
      </c>
      <c r="M270" s="1" t="s">
        <v>39</v>
      </c>
      <c r="N270" s="1" t="s">
        <v>43</v>
      </c>
    </row>
    <row r="271" spans="1:14" x14ac:dyDescent="0.25">
      <c r="A271" s="1" t="s">
        <v>1083</v>
      </c>
      <c r="B271" s="1" t="s">
        <v>1084</v>
      </c>
      <c r="C271" s="1" t="s">
        <v>1084</v>
      </c>
      <c r="D271" s="1" t="s">
        <v>37</v>
      </c>
      <c r="E271" s="1" t="s">
        <v>38</v>
      </c>
      <c r="F271" s="1" t="s">
        <v>39</v>
      </c>
      <c r="G271" s="2">
        <v>-8</v>
      </c>
      <c r="H271" s="2">
        <v>28300562.390000001</v>
      </c>
      <c r="I271" s="1" t="s">
        <v>40</v>
      </c>
      <c r="J271" s="1" t="s">
        <v>41</v>
      </c>
      <c r="K271" s="1" t="s">
        <v>42</v>
      </c>
      <c r="L271" s="1" t="s">
        <v>39</v>
      </c>
      <c r="M271" s="1" t="s">
        <v>39</v>
      </c>
      <c r="N271" s="1" t="s">
        <v>43</v>
      </c>
    </row>
    <row r="272" spans="1:14" x14ac:dyDescent="0.25">
      <c r="A272" s="1" t="s">
        <v>1087</v>
      </c>
      <c r="B272" s="1" t="s">
        <v>1088</v>
      </c>
      <c r="C272" s="1" t="s">
        <v>1089</v>
      </c>
      <c r="D272" s="1" t="s">
        <v>48</v>
      </c>
      <c r="E272" s="1" t="s">
        <v>38</v>
      </c>
      <c r="F272" s="1" t="s">
        <v>39</v>
      </c>
      <c r="G272" s="2">
        <v>-68</v>
      </c>
      <c r="H272" s="2">
        <v>28320870.390000001</v>
      </c>
      <c r="I272" s="1" t="s">
        <v>40</v>
      </c>
      <c r="J272" s="1" t="s">
        <v>49</v>
      </c>
      <c r="K272" s="1" t="s">
        <v>42</v>
      </c>
      <c r="L272" s="1" t="s">
        <v>39</v>
      </c>
      <c r="M272" s="1" t="s">
        <v>39</v>
      </c>
      <c r="N272" s="1" t="s">
        <v>43</v>
      </c>
    </row>
    <row r="273" spans="1:14" x14ac:dyDescent="0.25">
      <c r="A273" s="1" t="s">
        <v>1093</v>
      </c>
      <c r="B273" s="1" t="s">
        <v>1094</v>
      </c>
      <c r="C273" s="1" t="s">
        <v>1094</v>
      </c>
      <c r="D273" s="1" t="s">
        <v>37</v>
      </c>
      <c r="E273" s="1" t="s">
        <v>38</v>
      </c>
      <c r="F273" s="1" t="s">
        <v>39</v>
      </c>
      <c r="G273" s="2">
        <v>-8</v>
      </c>
      <c r="H273" s="2">
        <v>28320938.390000001</v>
      </c>
      <c r="I273" s="1" t="s">
        <v>40</v>
      </c>
      <c r="J273" s="1" t="s">
        <v>41</v>
      </c>
      <c r="K273" s="1" t="s">
        <v>42</v>
      </c>
      <c r="L273" s="1" t="s">
        <v>39</v>
      </c>
      <c r="M273" s="1" t="s">
        <v>39</v>
      </c>
      <c r="N273" s="1" t="s">
        <v>43</v>
      </c>
    </row>
    <row r="274" spans="1:14" x14ac:dyDescent="0.25">
      <c r="A274" s="1" t="s">
        <v>1097</v>
      </c>
      <c r="B274" s="1" t="s">
        <v>1098</v>
      </c>
      <c r="C274" s="1" t="s">
        <v>1098</v>
      </c>
      <c r="D274" s="1" t="s">
        <v>48</v>
      </c>
      <c r="E274" s="1" t="s">
        <v>38</v>
      </c>
      <c r="F274" s="1" t="s">
        <v>39</v>
      </c>
      <c r="G274" s="2">
        <v>-74</v>
      </c>
      <c r="H274" s="2">
        <v>28321446.390000001</v>
      </c>
      <c r="I274" s="1" t="s">
        <v>40</v>
      </c>
      <c r="J274" s="1" t="s">
        <v>49</v>
      </c>
      <c r="K274" s="1" t="s">
        <v>42</v>
      </c>
      <c r="L274" s="1" t="s">
        <v>39</v>
      </c>
      <c r="M274" s="1" t="s">
        <v>39</v>
      </c>
      <c r="N274" s="1" t="s">
        <v>43</v>
      </c>
    </row>
    <row r="275" spans="1:14" x14ac:dyDescent="0.25">
      <c r="A275" s="1" t="s">
        <v>1102</v>
      </c>
      <c r="B275" s="1" t="s">
        <v>1103</v>
      </c>
      <c r="C275" s="1" t="s">
        <v>1104</v>
      </c>
      <c r="D275" s="1" t="s">
        <v>48</v>
      </c>
      <c r="E275" s="1" t="s">
        <v>38</v>
      </c>
      <c r="F275" s="1" t="s">
        <v>39</v>
      </c>
      <c r="G275" s="2">
        <v>-68</v>
      </c>
      <c r="H275" s="2">
        <v>28346520.390000001</v>
      </c>
      <c r="I275" s="1" t="s">
        <v>40</v>
      </c>
      <c r="J275" s="1" t="s">
        <v>49</v>
      </c>
      <c r="K275" s="1" t="s">
        <v>42</v>
      </c>
      <c r="L275" s="1" t="s">
        <v>39</v>
      </c>
      <c r="M275" s="1" t="s">
        <v>39</v>
      </c>
      <c r="N275" s="1" t="s">
        <v>43</v>
      </c>
    </row>
    <row r="276" spans="1:14" x14ac:dyDescent="0.25">
      <c r="A276" s="1" t="s">
        <v>1107</v>
      </c>
      <c r="B276" s="1" t="s">
        <v>1108</v>
      </c>
      <c r="C276" s="1" t="s">
        <v>1108</v>
      </c>
      <c r="D276" s="1" t="s">
        <v>37</v>
      </c>
      <c r="E276" s="1" t="s">
        <v>38</v>
      </c>
      <c r="F276" s="1" t="s">
        <v>39</v>
      </c>
      <c r="G276" s="2">
        <v>-13</v>
      </c>
      <c r="H276" s="2">
        <v>28364588.390000001</v>
      </c>
      <c r="I276" s="1" t="s">
        <v>40</v>
      </c>
      <c r="J276" s="1" t="s">
        <v>41</v>
      </c>
      <c r="K276" s="1" t="s">
        <v>42</v>
      </c>
      <c r="L276" s="1" t="s">
        <v>39</v>
      </c>
      <c r="M276" s="1" t="s">
        <v>39</v>
      </c>
      <c r="N276" s="1" t="s">
        <v>43</v>
      </c>
    </row>
    <row r="277" spans="1:14" x14ac:dyDescent="0.25">
      <c r="A277" s="1" t="s">
        <v>1111</v>
      </c>
      <c r="B277" s="1" t="s">
        <v>1112</v>
      </c>
      <c r="C277" s="1" t="s">
        <v>1112</v>
      </c>
      <c r="D277" s="1" t="s">
        <v>48</v>
      </c>
      <c r="E277" s="1" t="s">
        <v>38</v>
      </c>
      <c r="F277" s="1" t="s">
        <v>39</v>
      </c>
      <c r="G277" s="2">
        <v>-13</v>
      </c>
      <c r="H277" s="2">
        <v>28365276.390000001</v>
      </c>
      <c r="I277" s="1" t="s">
        <v>40</v>
      </c>
      <c r="J277" s="1" t="s">
        <v>49</v>
      </c>
      <c r="K277" s="1" t="s">
        <v>42</v>
      </c>
      <c r="L277" s="1" t="s">
        <v>39</v>
      </c>
      <c r="M277" s="1" t="s">
        <v>39</v>
      </c>
      <c r="N277" s="1" t="s">
        <v>43</v>
      </c>
    </row>
    <row r="278" spans="1:14" x14ac:dyDescent="0.25">
      <c r="A278" s="1" t="s">
        <v>1115</v>
      </c>
      <c r="B278" s="1" t="s">
        <v>1116</v>
      </c>
      <c r="C278" s="1" t="s">
        <v>1116</v>
      </c>
      <c r="D278" s="1" t="s">
        <v>37</v>
      </c>
      <c r="E278" s="1" t="s">
        <v>38</v>
      </c>
      <c r="F278" s="1" t="s">
        <v>39</v>
      </c>
      <c r="G278" s="2">
        <v>-115</v>
      </c>
      <c r="H278" s="2">
        <v>28366249.390000001</v>
      </c>
      <c r="I278" s="1" t="s">
        <v>40</v>
      </c>
      <c r="J278" s="1" t="s">
        <v>41</v>
      </c>
      <c r="K278" s="1" t="s">
        <v>42</v>
      </c>
      <c r="L278" s="1" t="s">
        <v>39</v>
      </c>
      <c r="M278" s="1" t="s">
        <v>39</v>
      </c>
      <c r="N278" s="1" t="s">
        <v>43</v>
      </c>
    </row>
    <row r="279" spans="1:14" x14ac:dyDescent="0.25">
      <c r="A279" s="1" t="s">
        <v>1119</v>
      </c>
      <c r="B279" s="1" t="s">
        <v>1120</v>
      </c>
      <c r="C279" s="1" t="s">
        <v>1120</v>
      </c>
      <c r="D279" s="1" t="s">
        <v>37</v>
      </c>
      <c r="E279" s="1" t="s">
        <v>38</v>
      </c>
      <c r="F279" s="1" t="s">
        <v>39</v>
      </c>
      <c r="G279" s="2">
        <v>-3</v>
      </c>
      <c r="H279" s="2">
        <v>28415714.390000001</v>
      </c>
      <c r="I279" s="1" t="s">
        <v>40</v>
      </c>
      <c r="J279" s="1" t="s">
        <v>41</v>
      </c>
      <c r="K279" s="1" t="s">
        <v>42</v>
      </c>
      <c r="L279" s="1" t="s">
        <v>39</v>
      </c>
      <c r="M279" s="1" t="s">
        <v>39</v>
      </c>
      <c r="N279" s="1" t="s">
        <v>43</v>
      </c>
    </row>
    <row r="280" spans="1:14" x14ac:dyDescent="0.25">
      <c r="A280" s="1" t="s">
        <v>1123</v>
      </c>
      <c r="B280" s="1" t="s">
        <v>1124</v>
      </c>
      <c r="C280" s="1" t="s">
        <v>1124</v>
      </c>
      <c r="D280" s="1" t="s">
        <v>37</v>
      </c>
      <c r="E280" s="1" t="s">
        <v>38</v>
      </c>
      <c r="F280" s="1" t="s">
        <v>39</v>
      </c>
      <c r="G280" s="2">
        <v>-8</v>
      </c>
      <c r="H280" s="2">
        <v>28415817.390000001</v>
      </c>
      <c r="I280" s="1" t="s">
        <v>40</v>
      </c>
      <c r="J280" s="1" t="s">
        <v>41</v>
      </c>
      <c r="K280" s="1" t="s">
        <v>42</v>
      </c>
      <c r="L280" s="1" t="s">
        <v>39</v>
      </c>
      <c r="M280" s="1" t="s">
        <v>39</v>
      </c>
      <c r="N280" s="1" t="s">
        <v>43</v>
      </c>
    </row>
    <row r="281" spans="1:14" x14ac:dyDescent="0.25">
      <c r="A281" s="1" t="s">
        <v>1127</v>
      </c>
      <c r="B281" s="1" t="s">
        <v>1128</v>
      </c>
      <c r="C281" s="1" t="s">
        <v>1128</v>
      </c>
      <c r="D281" s="1" t="s">
        <v>48</v>
      </c>
      <c r="E281" s="1" t="s">
        <v>38</v>
      </c>
      <c r="F281" s="1" t="s">
        <v>39</v>
      </c>
      <c r="G281" s="2">
        <v>-39</v>
      </c>
      <c r="H281" s="2">
        <v>28415975.390000001</v>
      </c>
      <c r="I281" s="1" t="s">
        <v>40</v>
      </c>
      <c r="J281" s="1" t="s">
        <v>49</v>
      </c>
      <c r="K281" s="1" t="s">
        <v>42</v>
      </c>
      <c r="L281" s="1" t="s">
        <v>39</v>
      </c>
      <c r="M281" s="1" t="s">
        <v>39</v>
      </c>
      <c r="N281" s="1" t="s">
        <v>43</v>
      </c>
    </row>
    <row r="282" spans="1:14" x14ac:dyDescent="0.25">
      <c r="A282" s="1" t="s">
        <v>1129</v>
      </c>
      <c r="B282" s="1" t="s">
        <v>1130</v>
      </c>
      <c r="C282" s="1" t="s">
        <v>1131</v>
      </c>
      <c r="D282" s="1" t="s">
        <v>48</v>
      </c>
      <c r="E282" s="1" t="s">
        <v>38</v>
      </c>
      <c r="F282" s="1" t="s">
        <v>39</v>
      </c>
      <c r="G282" s="2">
        <v>-39</v>
      </c>
      <c r="H282" s="2">
        <v>28419874.390000001</v>
      </c>
      <c r="I282" s="1" t="s">
        <v>40</v>
      </c>
      <c r="J282" s="1" t="s">
        <v>49</v>
      </c>
      <c r="K282" s="1" t="s">
        <v>42</v>
      </c>
      <c r="L282" s="1" t="s">
        <v>39</v>
      </c>
      <c r="M282" s="1" t="s">
        <v>39</v>
      </c>
      <c r="N282" s="1" t="s">
        <v>43</v>
      </c>
    </row>
    <row r="283" spans="1:14" x14ac:dyDescent="0.25">
      <c r="A283" s="1" t="s">
        <v>1135</v>
      </c>
      <c r="B283" s="1" t="s">
        <v>1136</v>
      </c>
      <c r="C283" s="1" t="s">
        <v>1136</v>
      </c>
      <c r="D283" s="1" t="s">
        <v>37</v>
      </c>
      <c r="E283" s="1" t="s">
        <v>38</v>
      </c>
      <c r="F283" s="1" t="s">
        <v>39</v>
      </c>
      <c r="G283" s="2">
        <v>-13</v>
      </c>
      <c r="H283" s="2">
        <v>28423633.390000001</v>
      </c>
      <c r="I283" s="1" t="s">
        <v>40</v>
      </c>
      <c r="J283" s="1" t="s">
        <v>41</v>
      </c>
      <c r="K283" s="1" t="s">
        <v>42</v>
      </c>
      <c r="L283" s="1" t="s">
        <v>39</v>
      </c>
      <c r="M283" s="1" t="s">
        <v>39</v>
      </c>
      <c r="N283" s="1" t="s">
        <v>43</v>
      </c>
    </row>
    <row r="284" spans="1:14" x14ac:dyDescent="0.25">
      <c r="A284" s="1" t="s">
        <v>1139</v>
      </c>
      <c r="B284" s="1" t="s">
        <v>1140</v>
      </c>
      <c r="C284" s="1" t="s">
        <v>1140</v>
      </c>
      <c r="D284" s="1" t="s">
        <v>48</v>
      </c>
      <c r="E284" s="1" t="s">
        <v>38</v>
      </c>
      <c r="F284" s="1" t="s">
        <v>39</v>
      </c>
      <c r="G284" s="2">
        <v>-68</v>
      </c>
      <c r="H284" s="2">
        <v>28424296.390000001</v>
      </c>
      <c r="I284" s="1" t="s">
        <v>40</v>
      </c>
      <c r="J284" s="1" t="s">
        <v>49</v>
      </c>
      <c r="K284" s="1" t="s">
        <v>42</v>
      </c>
      <c r="L284" s="1" t="s">
        <v>39</v>
      </c>
      <c r="M284" s="1" t="s">
        <v>39</v>
      </c>
      <c r="N284" s="1" t="s">
        <v>43</v>
      </c>
    </row>
    <row r="285" spans="1:14" x14ac:dyDescent="0.25">
      <c r="A285" s="1" t="s">
        <v>1144</v>
      </c>
      <c r="B285" s="1" t="s">
        <v>1145</v>
      </c>
      <c r="C285" s="1" t="s">
        <v>1145</v>
      </c>
      <c r="D285" s="1" t="s">
        <v>37</v>
      </c>
      <c r="E285" s="1" t="s">
        <v>38</v>
      </c>
      <c r="F285" s="1" t="s">
        <v>39</v>
      </c>
      <c r="G285" s="2">
        <v>-54</v>
      </c>
      <c r="H285" s="2">
        <v>28444364.390000001</v>
      </c>
      <c r="I285" s="1" t="s">
        <v>40</v>
      </c>
      <c r="J285" s="1" t="s">
        <v>41</v>
      </c>
      <c r="K285" s="1" t="s">
        <v>42</v>
      </c>
      <c r="L285" s="1" t="s">
        <v>39</v>
      </c>
      <c r="M285" s="1" t="s">
        <v>39</v>
      </c>
      <c r="N285" s="1" t="s">
        <v>43</v>
      </c>
    </row>
    <row r="286" spans="1:14" x14ac:dyDescent="0.25">
      <c r="A286" s="1" t="s">
        <v>1148</v>
      </c>
      <c r="B286" s="1" t="s">
        <v>1149</v>
      </c>
      <c r="C286" s="1" t="s">
        <v>1149</v>
      </c>
      <c r="D286" s="1" t="s">
        <v>37</v>
      </c>
      <c r="E286" s="1" t="s">
        <v>38</v>
      </c>
      <c r="F286" s="1" t="s">
        <v>39</v>
      </c>
      <c r="G286" s="2">
        <v>-54</v>
      </c>
      <c r="H286" s="2">
        <v>28452538.390000001</v>
      </c>
      <c r="I286" s="1" t="s">
        <v>40</v>
      </c>
      <c r="J286" s="1" t="s">
        <v>41</v>
      </c>
      <c r="K286" s="1" t="s">
        <v>42</v>
      </c>
      <c r="L286" s="1" t="s">
        <v>39</v>
      </c>
      <c r="M286" s="1" t="s">
        <v>39</v>
      </c>
      <c r="N286" s="1" t="s">
        <v>43</v>
      </c>
    </row>
    <row r="287" spans="1:14" x14ac:dyDescent="0.25">
      <c r="A287" s="1" t="s">
        <v>1152</v>
      </c>
      <c r="B287" s="1" t="s">
        <v>1153</v>
      </c>
      <c r="C287" s="1" t="s">
        <v>1153</v>
      </c>
      <c r="D287" s="1" t="s">
        <v>37</v>
      </c>
      <c r="E287" s="1" t="s">
        <v>38</v>
      </c>
      <c r="F287" s="1" t="s">
        <v>39</v>
      </c>
      <c r="G287" s="2">
        <v>-3</v>
      </c>
      <c r="H287" s="2">
        <v>28462042.390000001</v>
      </c>
      <c r="I287" s="1" t="s">
        <v>40</v>
      </c>
      <c r="J287" s="1" t="s">
        <v>41</v>
      </c>
      <c r="K287" s="1" t="s">
        <v>42</v>
      </c>
      <c r="L287" s="1" t="s">
        <v>39</v>
      </c>
      <c r="M287" s="1" t="s">
        <v>39</v>
      </c>
      <c r="N287" s="1" t="s">
        <v>43</v>
      </c>
    </row>
    <row r="288" spans="1:14" x14ac:dyDescent="0.25">
      <c r="A288" s="1" t="s">
        <v>1156</v>
      </c>
      <c r="B288" s="1" t="s">
        <v>1157</v>
      </c>
      <c r="C288" s="1" t="s">
        <v>1158</v>
      </c>
      <c r="D288" s="1" t="s">
        <v>48</v>
      </c>
      <c r="E288" s="1" t="s">
        <v>38</v>
      </c>
      <c r="F288" s="1" t="s">
        <v>39</v>
      </c>
      <c r="G288" s="2">
        <v>-68</v>
      </c>
      <c r="H288" s="2">
        <v>28478005.390000001</v>
      </c>
      <c r="I288" s="1" t="s">
        <v>40</v>
      </c>
      <c r="J288" s="1" t="s">
        <v>49</v>
      </c>
      <c r="K288" s="1" t="s">
        <v>42</v>
      </c>
      <c r="L288" s="1" t="s">
        <v>39</v>
      </c>
      <c r="M288" s="1" t="s">
        <v>39</v>
      </c>
      <c r="N288" s="1" t="s">
        <v>43</v>
      </c>
    </row>
    <row r="289" spans="1:14" x14ac:dyDescent="0.25">
      <c r="A289" s="1" t="s">
        <v>1161</v>
      </c>
      <c r="B289" s="1" t="s">
        <v>1162</v>
      </c>
      <c r="C289" s="1" t="s">
        <v>1162</v>
      </c>
      <c r="D289" s="1" t="s">
        <v>37</v>
      </c>
      <c r="E289" s="1" t="s">
        <v>38</v>
      </c>
      <c r="F289" s="1" t="s">
        <v>39</v>
      </c>
      <c r="G289" s="2">
        <v>-18</v>
      </c>
      <c r="H289" s="2">
        <v>28478073.390000001</v>
      </c>
      <c r="I289" s="1" t="s">
        <v>40</v>
      </c>
      <c r="J289" s="1" t="s">
        <v>41</v>
      </c>
      <c r="K289" s="1" t="s">
        <v>42</v>
      </c>
      <c r="L289" s="1" t="s">
        <v>39</v>
      </c>
      <c r="M289" s="1" t="s">
        <v>39</v>
      </c>
      <c r="N289" s="1" t="s">
        <v>43</v>
      </c>
    </row>
    <row r="290" spans="1:14" x14ac:dyDescent="0.25">
      <c r="A290" s="1" t="s">
        <v>1165</v>
      </c>
      <c r="B290" s="1" t="s">
        <v>1166</v>
      </c>
      <c r="C290" s="1" t="s">
        <v>1166</v>
      </c>
      <c r="D290" s="1" t="s">
        <v>48</v>
      </c>
      <c r="E290" s="1" t="s">
        <v>38</v>
      </c>
      <c r="F290" s="1" t="s">
        <v>39</v>
      </c>
      <c r="G290" s="2">
        <v>-74</v>
      </c>
      <c r="H290" s="2">
        <v>28479591.390000001</v>
      </c>
      <c r="I290" s="1" t="s">
        <v>40</v>
      </c>
      <c r="J290" s="1" t="s">
        <v>49</v>
      </c>
      <c r="K290" s="1" t="s">
        <v>42</v>
      </c>
      <c r="L290" s="1" t="s">
        <v>39</v>
      </c>
      <c r="M290" s="1" t="s">
        <v>39</v>
      </c>
      <c r="N290" s="1" t="s">
        <v>43</v>
      </c>
    </row>
    <row r="291" spans="1:14" x14ac:dyDescent="0.25">
      <c r="A291" s="1" t="s">
        <v>1174</v>
      </c>
      <c r="B291" s="1" t="s">
        <v>1175</v>
      </c>
      <c r="C291" s="1" t="s">
        <v>1175</v>
      </c>
      <c r="D291" s="1" t="s">
        <v>48</v>
      </c>
      <c r="E291" s="1" t="s">
        <v>38</v>
      </c>
      <c r="F291" s="1" t="s">
        <v>39</v>
      </c>
      <c r="G291" s="2">
        <v>-13</v>
      </c>
      <c r="H291" s="2">
        <v>28502185.390000001</v>
      </c>
      <c r="I291" s="1" t="s">
        <v>40</v>
      </c>
      <c r="J291" s="1" t="s">
        <v>49</v>
      </c>
      <c r="K291" s="1" t="s">
        <v>42</v>
      </c>
      <c r="L291" s="1" t="s">
        <v>39</v>
      </c>
      <c r="M291" s="1" t="s">
        <v>39</v>
      </c>
      <c r="N291" s="1" t="s">
        <v>43</v>
      </c>
    </row>
    <row r="292" spans="1:14" x14ac:dyDescent="0.25">
      <c r="A292" s="1" t="s">
        <v>1178</v>
      </c>
      <c r="B292" s="1" t="s">
        <v>1179</v>
      </c>
      <c r="C292" s="1" t="s">
        <v>1180</v>
      </c>
      <c r="D292" s="1" t="s">
        <v>48</v>
      </c>
      <c r="E292" s="1" t="s">
        <v>38</v>
      </c>
      <c r="F292" s="1" t="s">
        <v>39</v>
      </c>
      <c r="G292" s="2">
        <v>-30</v>
      </c>
      <c r="H292" s="2">
        <v>28505798.390000001</v>
      </c>
      <c r="I292" s="1" t="s">
        <v>40</v>
      </c>
      <c r="J292" s="1" t="s">
        <v>49</v>
      </c>
      <c r="K292" s="1" t="s">
        <v>42</v>
      </c>
      <c r="L292" s="1" t="s">
        <v>39</v>
      </c>
      <c r="M292" s="1" t="s">
        <v>39</v>
      </c>
      <c r="N292" s="1" t="s">
        <v>43</v>
      </c>
    </row>
    <row r="293" spans="1:14" x14ac:dyDescent="0.25">
      <c r="A293" s="1" t="s">
        <v>1184</v>
      </c>
      <c r="B293" s="1" t="s">
        <v>1185</v>
      </c>
      <c r="C293" s="1" t="s">
        <v>1185</v>
      </c>
      <c r="D293" s="1" t="s">
        <v>37</v>
      </c>
      <c r="E293" s="1" t="s">
        <v>38</v>
      </c>
      <c r="F293" s="1" t="s">
        <v>39</v>
      </c>
      <c r="G293" s="2">
        <v>-54</v>
      </c>
      <c r="H293" s="2">
        <v>28505828.390000001</v>
      </c>
      <c r="I293" s="1" t="s">
        <v>40</v>
      </c>
      <c r="J293" s="1" t="s">
        <v>41</v>
      </c>
      <c r="K293" s="1" t="s">
        <v>42</v>
      </c>
      <c r="L293" s="1" t="s">
        <v>39</v>
      </c>
      <c r="M293" s="1" t="s">
        <v>39</v>
      </c>
      <c r="N293" s="1" t="s">
        <v>43</v>
      </c>
    </row>
    <row r="294" spans="1:14" x14ac:dyDescent="0.25">
      <c r="A294" s="1" t="s">
        <v>1186</v>
      </c>
      <c r="B294" s="1" t="s">
        <v>1187</v>
      </c>
      <c r="C294" s="1" t="s">
        <v>1188</v>
      </c>
      <c r="D294" s="1" t="s">
        <v>48</v>
      </c>
      <c r="E294" s="1" t="s">
        <v>38</v>
      </c>
      <c r="F294" s="1" t="s">
        <v>39</v>
      </c>
      <c r="G294" s="2">
        <v>-18</v>
      </c>
      <c r="H294" s="2">
        <v>28515882.390000001</v>
      </c>
      <c r="I294" s="1" t="s">
        <v>40</v>
      </c>
      <c r="J294" s="1" t="s">
        <v>49</v>
      </c>
      <c r="K294" s="1" t="s">
        <v>42</v>
      </c>
      <c r="L294" s="1" t="s">
        <v>39</v>
      </c>
      <c r="M294" s="1" t="s">
        <v>39</v>
      </c>
      <c r="N294" s="1" t="s">
        <v>43</v>
      </c>
    </row>
    <row r="295" spans="1:14" x14ac:dyDescent="0.25">
      <c r="A295" s="1" t="s">
        <v>1192</v>
      </c>
      <c r="B295" s="1" t="s">
        <v>1193</v>
      </c>
      <c r="C295" s="1" t="s">
        <v>1194</v>
      </c>
      <c r="D295" s="1" t="s">
        <v>37</v>
      </c>
      <c r="E295" s="1" t="s">
        <v>38</v>
      </c>
      <c r="F295" s="1" t="s">
        <v>39</v>
      </c>
      <c r="G295" s="2">
        <v>-48</v>
      </c>
      <c r="H295" s="2">
        <v>28517400.390000001</v>
      </c>
      <c r="I295" s="1" t="s">
        <v>40</v>
      </c>
      <c r="J295" s="1" t="s">
        <v>41</v>
      </c>
      <c r="K295" s="1" t="s">
        <v>42</v>
      </c>
      <c r="L295" s="1" t="s">
        <v>39</v>
      </c>
      <c r="M295" s="1" t="s">
        <v>39</v>
      </c>
      <c r="N295" s="1" t="s">
        <v>43</v>
      </c>
    </row>
    <row r="296" spans="1:14" x14ac:dyDescent="0.25">
      <c r="A296" s="1" t="s">
        <v>1196</v>
      </c>
      <c r="B296" s="1" t="s">
        <v>1197</v>
      </c>
      <c r="C296" s="1" t="s">
        <v>1197</v>
      </c>
      <c r="D296" s="1" t="s">
        <v>48</v>
      </c>
      <c r="E296" s="1" t="s">
        <v>38</v>
      </c>
      <c r="F296" s="1" t="s">
        <v>39</v>
      </c>
      <c r="G296" s="2">
        <v>-48</v>
      </c>
      <c r="H296" s="2">
        <v>28523448.390000001</v>
      </c>
      <c r="I296" s="1" t="s">
        <v>40</v>
      </c>
      <c r="J296" s="1" t="s">
        <v>49</v>
      </c>
      <c r="K296" s="1" t="s">
        <v>42</v>
      </c>
      <c r="L296" s="1" t="s">
        <v>39</v>
      </c>
      <c r="M296" s="1" t="s">
        <v>39</v>
      </c>
      <c r="N296" s="1" t="s">
        <v>43</v>
      </c>
    </row>
    <row r="297" spans="1:14" x14ac:dyDescent="0.25">
      <c r="A297" s="1" t="s">
        <v>1201</v>
      </c>
      <c r="B297" s="1" t="s">
        <v>1202</v>
      </c>
      <c r="C297" s="1" t="s">
        <v>1202</v>
      </c>
      <c r="D297" s="1" t="s">
        <v>37</v>
      </c>
      <c r="E297" s="1" t="s">
        <v>38</v>
      </c>
      <c r="F297" s="1" t="s">
        <v>39</v>
      </c>
      <c r="G297" s="2">
        <v>-8</v>
      </c>
      <c r="H297" s="2">
        <v>28530859.390000001</v>
      </c>
      <c r="I297" s="1" t="s">
        <v>40</v>
      </c>
      <c r="J297" s="1" t="s">
        <v>41</v>
      </c>
      <c r="K297" s="1" t="s">
        <v>42</v>
      </c>
      <c r="L297" s="1" t="s">
        <v>39</v>
      </c>
      <c r="M297" s="1" t="s">
        <v>39</v>
      </c>
      <c r="N297" s="1" t="s">
        <v>43</v>
      </c>
    </row>
    <row r="298" spans="1:14" x14ac:dyDescent="0.25">
      <c r="A298" s="1" t="s">
        <v>1203</v>
      </c>
      <c r="B298" s="1" t="s">
        <v>1204</v>
      </c>
      <c r="C298" s="1" t="s">
        <v>1204</v>
      </c>
      <c r="D298" s="1" t="s">
        <v>37</v>
      </c>
      <c r="E298" s="1" t="s">
        <v>38</v>
      </c>
      <c r="F298" s="1" t="s">
        <v>39</v>
      </c>
      <c r="G298" s="2">
        <v>-18</v>
      </c>
      <c r="H298" s="2">
        <v>28531007.390000001</v>
      </c>
      <c r="I298" s="1" t="s">
        <v>40</v>
      </c>
      <c r="J298" s="1" t="s">
        <v>41</v>
      </c>
      <c r="K298" s="1" t="s">
        <v>42</v>
      </c>
      <c r="L298" s="1" t="s">
        <v>39</v>
      </c>
      <c r="M298" s="1" t="s">
        <v>39</v>
      </c>
      <c r="N298" s="1" t="s">
        <v>43</v>
      </c>
    </row>
    <row r="299" spans="1:14" x14ac:dyDescent="0.25">
      <c r="A299" s="1" t="s">
        <v>1207</v>
      </c>
      <c r="B299" s="1" t="s">
        <v>1208</v>
      </c>
      <c r="C299" s="1" t="s">
        <v>1208</v>
      </c>
      <c r="D299" s="1" t="s">
        <v>37</v>
      </c>
      <c r="E299" s="1" t="s">
        <v>38</v>
      </c>
      <c r="F299" s="1" t="s">
        <v>39</v>
      </c>
      <c r="G299" s="2">
        <v>-115</v>
      </c>
      <c r="H299" s="2">
        <v>28532525.390000001</v>
      </c>
      <c r="I299" s="1" t="s">
        <v>40</v>
      </c>
      <c r="J299" s="1" t="s">
        <v>41</v>
      </c>
      <c r="K299" s="1" t="s">
        <v>42</v>
      </c>
      <c r="L299" s="1" t="s">
        <v>39</v>
      </c>
      <c r="M299" s="1" t="s">
        <v>39</v>
      </c>
      <c r="N299" s="1" t="s">
        <v>43</v>
      </c>
    </row>
    <row r="300" spans="1:14" x14ac:dyDescent="0.25">
      <c r="A300" s="1" t="s">
        <v>1211</v>
      </c>
      <c r="B300" s="1" t="s">
        <v>1212</v>
      </c>
      <c r="C300" s="1" t="s">
        <v>1212</v>
      </c>
      <c r="D300" s="1" t="s">
        <v>37</v>
      </c>
      <c r="E300" s="1" t="s">
        <v>38</v>
      </c>
      <c r="F300" s="1" t="s">
        <v>39</v>
      </c>
      <c r="G300" s="2">
        <v>-48</v>
      </c>
      <c r="H300" s="2">
        <v>28630126.390000001</v>
      </c>
      <c r="I300" s="1" t="s">
        <v>40</v>
      </c>
      <c r="J300" s="1" t="s">
        <v>41</v>
      </c>
      <c r="K300" s="1" t="s">
        <v>42</v>
      </c>
      <c r="L300" s="1" t="s">
        <v>39</v>
      </c>
      <c r="M300" s="1" t="s">
        <v>39</v>
      </c>
      <c r="N300" s="1" t="s">
        <v>43</v>
      </c>
    </row>
    <row r="301" spans="1:14" x14ac:dyDescent="0.25">
      <c r="A301" s="1" t="s">
        <v>1213</v>
      </c>
      <c r="B301" s="1" t="s">
        <v>1214</v>
      </c>
      <c r="C301" s="1" t="s">
        <v>1214</v>
      </c>
      <c r="D301" s="1" t="s">
        <v>37</v>
      </c>
      <c r="E301" s="1" t="s">
        <v>38</v>
      </c>
      <c r="F301" s="1" t="s">
        <v>39</v>
      </c>
      <c r="G301" s="2">
        <v>-48</v>
      </c>
      <c r="H301" s="2">
        <v>28635574.390000001</v>
      </c>
      <c r="I301" s="1" t="s">
        <v>40</v>
      </c>
      <c r="J301" s="1" t="s">
        <v>41</v>
      </c>
      <c r="K301" s="1" t="s">
        <v>42</v>
      </c>
      <c r="L301" s="1" t="s">
        <v>39</v>
      </c>
      <c r="M301" s="1" t="s">
        <v>39</v>
      </c>
      <c r="N301" s="1" t="s">
        <v>43</v>
      </c>
    </row>
    <row r="302" spans="1:14" x14ac:dyDescent="0.25">
      <c r="A302" s="1" t="s">
        <v>1215</v>
      </c>
      <c r="B302" s="1" t="s">
        <v>1216</v>
      </c>
      <c r="C302" s="1" t="s">
        <v>1216</v>
      </c>
      <c r="D302" s="1" t="s">
        <v>37</v>
      </c>
      <c r="E302" s="1" t="s">
        <v>38</v>
      </c>
      <c r="F302" s="1" t="s">
        <v>39</v>
      </c>
      <c r="G302" s="2">
        <v>-63</v>
      </c>
      <c r="H302" s="2">
        <v>28642322.390000001</v>
      </c>
      <c r="I302" s="1" t="s">
        <v>40</v>
      </c>
      <c r="J302" s="1" t="s">
        <v>41</v>
      </c>
      <c r="K302" s="1" t="s">
        <v>42</v>
      </c>
      <c r="L302" s="1" t="s">
        <v>39</v>
      </c>
      <c r="M302" s="1" t="s">
        <v>39</v>
      </c>
      <c r="N302" s="1" t="s">
        <v>43</v>
      </c>
    </row>
    <row r="303" spans="1:14" x14ac:dyDescent="0.25">
      <c r="A303" s="1" t="s">
        <v>1218</v>
      </c>
      <c r="B303" s="1" t="s">
        <v>1219</v>
      </c>
      <c r="C303" s="1" t="s">
        <v>1220</v>
      </c>
      <c r="D303" s="1" t="s">
        <v>37</v>
      </c>
      <c r="E303" s="1" t="s">
        <v>38</v>
      </c>
      <c r="F303" s="1" t="s">
        <v>39</v>
      </c>
      <c r="G303" s="2">
        <v>-48</v>
      </c>
      <c r="H303" s="2">
        <v>28656035.390000001</v>
      </c>
      <c r="I303" s="1" t="s">
        <v>40</v>
      </c>
      <c r="J303" s="1" t="s">
        <v>41</v>
      </c>
      <c r="K303" s="1" t="s">
        <v>42</v>
      </c>
      <c r="L303" s="1" t="s">
        <v>39</v>
      </c>
      <c r="M303" s="1" t="s">
        <v>39</v>
      </c>
      <c r="N303" s="1" t="s">
        <v>43</v>
      </c>
    </row>
    <row r="304" spans="1:14" x14ac:dyDescent="0.25">
      <c r="A304" s="1" t="s">
        <v>1222</v>
      </c>
      <c r="B304" s="1" t="s">
        <v>1223</v>
      </c>
      <c r="C304" s="1" t="s">
        <v>1223</v>
      </c>
      <c r="D304" s="1" t="s">
        <v>37</v>
      </c>
      <c r="E304" s="1" t="s">
        <v>38</v>
      </c>
      <c r="F304" s="1" t="s">
        <v>39</v>
      </c>
      <c r="G304" s="2">
        <v>-25</v>
      </c>
      <c r="H304" s="2">
        <v>28661733.390000001</v>
      </c>
      <c r="I304" s="1" t="s">
        <v>40</v>
      </c>
      <c r="J304" s="1" t="s">
        <v>41</v>
      </c>
      <c r="K304" s="1" t="s">
        <v>42</v>
      </c>
      <c r="L304" s="1" t="s">
        <v>39</v>
      </c>
      <c r="M304" s="1" t="s">
        <v>39</v>
      </c>
      <c r="N304" s="1" t="s">
        <v>43</v>
      </c>
    </row>
    <row r="305" spans="7:7" x14ac:dyDescent="0.25">
      <c r="G305" s="8">
        <f>SUM(G2:G304)</f>
        <v>-13582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EAEF-BEF3-430E-8B66-D53FA3F4D7AE}">
  <dimension ref="A1:B24"/>
  <sheetViews>
    <sheetView tabSelected="1" workbookViewId="0">
      <selection activeCell="A18" sqref="A18:IV18"/>
    </sheetView>
  </sheetViews>
  <sheetFormatPr defaultRowHeight="12.5" x14ac:dyDescent="0.25"/>
  <cols>
    <col min="1" max="1" width="72.6328125" customWidth="1"/>
    <col min="2" max="2" width="23.08984375" customWidth="1"/>
  </cols>
  <sheetData>
    <row r="1" spans="1:2" ht="18" x14ac:dyDescent="0.4">
      <c r="A1" s="11" t="s">
        <v>2339</v>
      </c>
      <c r="B1" s="12"/>
    </row>
    <row r="2" spans="1:2" ht="17.5" x14ac:dyDescent="0.35">
      <c r="A2" s="13" t="s">
        <v>2340</v>
      </c>
      <c r="B2" s="13" t="s">
        <v>2356</v>
      </c>
    </row>
    <row r="3" spans="1:2" ht="18" x14ac:dyDescent="0.4">
      <c r="A3" s="14" t="s">
        <v>2341</v>
      </c>
      <c r="B3" s="22">
        <f>transaction!H622</f>
        <v>28663538.390000001</v>
      </c>
    </row>
    <row r="4" spans="1:2" ht="18" x14ac:dyDescent="0.4">
      <c r="A4" s="15" t="s">
        <v>2343</v>
      </c>
      <c r="B4" s="22">
        <f>Working!G310</f>
        <v>-3341336</v>
      </c>
    </row>
    <row r="5" spans="1:2" ht="18" x14ac:dyDescent="0.4">
      <c r="A5" s="14" t="s">
        <v>2354</v>
      </c>
      <c r="B5" s="22">
        <f>Charges!G305</f>
        <v>-13582</v>
      </c>
    </row>
    <row r="6" spans="1:2" ht="18" x14ac:dyDescent="0.4">
      <c r="A6" s="15" t="s">
        <v>2353</v>
      </c>
      <c r="B6" s="22">
        <f>'Funds movement'!F4</f>
        <v>18632763.25</v>
      </c>
    </row>
    <row r="7" spans="1:2" ht="18" x14ac:dyDescent="0.4">
      <c r="A7" s="15" t="s">
        <v>2342</v>
      </c>
      <c r="B7" s="14">
        <v>0</v>
      </c>
    </row>
    <row r="8" spans="1:2" ht="18" x14ac:dyDescent="0.4">
      <c r="A8" s="15" t="s">
        <v>2355</v>
      </c>
      <c r="B8" s="22">
        <f>'Funds movement'!G9</f>
        <v>-35600000</v>
      </c>
    </row>
    <row r="9" spans="1:2" ht="18" x14ac:dyDescent="0.4">
      <c r="A9" s="15" t="s">
        <v>2344</v>
      </c>
      <c r="B9" s="23">
        <f>SUM(B3:B8)</f>
        <v>8341383.6400000006</v>
      </c>
    </row>
    <row r="10" spans="1:2" ht="18" x14ac:dyDescent="0.4">
      <c r="A10" s="15" t="s">
        <v>2345</v>
      </c>
      <c r="B10" s="24">
        <f>transaction!H8</f>
        <v>8341383.6399999997</v>
      </c>
    </row>
    <row r="11" spans="1:2" ht="18" x14ac:dyDescent="0.4">
      <c r="A11" s="13" t="s">
        <v>2346</v>
      </c>
      <c r="B11" s="17"/>
    </row>
    <row r="12" spans="1:2" ht="18" x14ac:dyDescent="0.4">
      <c r="A12" s="14"/>
      <c r="B12" s="17"/>
    </row>
    <row r="13" spans="1:2" ht="18" x14ac:dyDescent="0.4">
      <c r="A13" s="13" t="s">
        <v>2347</v>
      </c>
      <c r="B13" s="17"/>
    </row>
    <row r="14" spans="1:2" ht="18" x14ac:dyDescent="0.4">
      <c r="A14" s="15" t="s">
        <v>2348</v>
      </c>
      <c r="B14" s="25">
        <f>Working!U310</f>
        <v>3341336</v>
      </c>
    </row>
    <row r="15" spans="1:2" ht="18" x14ac:dyDescent="0.4">
      <c r="A15" s="15" t="s">
        <v>2349</v>
      </c>
      <c r="B15" s="26">
        <f>Working!G310</f>
        <v>-3341336</v>
      </c>
    </row>
    <row r="16" spans="1:2" ht="17.5" x14ac:dyDescent="0.35">
      <c r="A16" s="18" t="s">
        <v>2346</v>
      </c>
      <c r="B16" s="19"/>
    </row>
    <row r="17" spans="1:2" ht="18" x14ac:dyDescent="0.4">
      <c r="A17" s="15" t="s">
        <v>2350</v>
      </c>
      <c r="B17" s="19"/>
    </row>
    <row r="18" spans="1:2" ht="18" x14ac:dyDescent="0.4">
      <c r="A18" s="20" t="s">
        <v>2351</v>
      </c>
      <c r="B18" s="16"/>
    </row>
    <row r="19" spans="1:2" ht="18" x14ac:dyDescent="0.4">
      <c r="A19" s="20" t="s">
        <v>2352</v>
      </c>
      <c r="B19" s="21"/>
    </row>
    <row r="20" spans="1:2" ht="13" x14ac:dyDescent="0.3">
      <c r="A20" s="21"/>
      <c r="B20" s="21"/>
    </row>
    <row r="21" spans="1:2" ht="13" x14ac:dyDescent="0.3">
      <c r="A21" s="21"/>
      <c r="B21" s="21"/>
    </row>
    <row r="22" spans="1:2" ht="13" x14ac:dyDescent="0.3">
      <c r="A22" s="21"/>
      <c r="B22" s="21"/>
    </row>
    <row r="23" spans="1:2" ht="13" x14ac:dyDescent="0.3">
      <c r="A23" s="21"/>
      <c r="B23" s="21"/>
    </row>
    <row r="24" spans="1:2" ht="13" x14ac:dyDescent="0.3">
      <c r="A24" s="21"/>
      <c r="B2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</vt:lpstr>
      <vt:lpstr>Sasapay stm</vt:lpstr>
      <vt:lpstr>Working</vt:lpstr>
      <vt:lpstr>Funds movement</vt:lpstr>
      <vt:lpstr>Sheet6</vt:lpstr>
      <vt:lpstr>Charges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Consolata Muthoni</dc:creator>
  <cp:lastModifiedBy>Consolata Muthoni</cp:lastModifiedBy>
  <dcterms:created xsi:type="dcterms:W3CDTF">2026-09-10T11:24:35Z</dcterms:created>
  <dcterms:modified xsi:type="dcterms:W3CDTF">2026-09-10T11:24:35Z</dcterms:modified>
</cp:coreProperties>
</file>